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filterPrivacy="1" codeName="ThisWorkbook" defaultThemeVersion="166925"/>
  <bookViews>
    <workbookView xWindow="0" yWindow="0" windowWidth="15870" windowHeight="6990"/>
  </bookViews>
  <sheets>
    <sheet name="Sheet1" sheetId="1" r:id="rId1"/>
    <sheet name="Instruction" sheetId="9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5" i="1" l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4" i="1"/>
  <c r="AF24" i="1" l="1"/>
  <c r="AF101" i="1"/>
  <c r="AF35" i="1"/>
  <c r="AF61" i="1"/>
  <c r="AF8" i="1"/>
  <c r="AF85" i="1"/>
  <c r="AF53" i="1"/>
  <c r="AF14" i="1"/>
  <c r="AF69" i="1"/>
  <c r="AF12" i="1"/>
  <c r="AF93" i="1"/>
  <c r="AF77" i="1"/>
  <c r="AF45" i="1"/>
  <c r="AF92" i="1"/>
  <c r="AF76" i="1"/>
  <c r="AF60" i="1"/>
  <c r="AF44" i="1"/>
  <c r="AF23" i="1"/>
  <c r="AF100" i="1"/>
  <c r="AF84" i="1"/>
  <c r="AF68" i="1"/>
  <c r="AF52" i="1"/>
  <c r="AF34" i="1"/>
  <c r="AF97" i="1"/>
  <c r="AF89" i="1"/>
  <c r="AF81" i="1"/>
  <c r="AF73" i="1"/>
  <c r="AF65" i="1"/>
  <c r="AF57" i="1"/>
  <c r="AF49" i="1"/>
  <c r="AF40" i="1"/>
  <c r="AF30" i="1"/>
  <c r="AF19" i="1"/>
  <c r="AF6" i="1"/>
  <c r="AF11" i="1"/>
  <c r="AF16" i="1"/>
  <c r="AF22" i="1"/>
  <c r="AF27" i="1"/>
  <c r="AF32" i="1"/>
  <c r="AF38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4" i="1"/>
  <c r="AF96" i="1"/>
  <c r="AF88" i="1"/>
  <c r="AF80" i="1"/>
  <c r="AF72" i="1"/>
  <c r="AF64" i="1"/>
  <c r="AF56" i="1"/>
  <c r="AF48" i="1"/>
  <c r="AF39" i="1"/>
  <c r="AF28" i="1"/>
  <c r="AF18" i="1"/>
  <c r="AF7" i="1"/>
  <c r="AF5" i="1"/>
  <c r="AF9" i="1"/>
  <c r="AF13" i="1"/>
  <c r="AF17" i="1"/>
  <c r="AF21" i="1"/>
  <c r="AF25" i="1"/>
  <c r="AF29" i="1"/>
  <c r="AF33" i="1"/>
  <c r="AF37" i="1"/>
  <c r="AF41" i="1"/>
  <c r="AF102" i="1"/>
  <c r="AF98" i="1"/>
  <c r="AF94" i="1"/>
  <c r="AF90" i="1"/>
  <c r="AF86" i="1"/>
  <c r="AF82" i="1"/>
  <c r="AF78" i="1"/>
  <c r="AF74" i="1"/>
  <c r="AF70" i="1"/>
  <c r="AF66" i="1"/>
  <c r="AF62" i="1"/>
  <c r="AF58" i="1"/>
  <c r="AF54" i="1"/>
  <c r="AF50" i="1"/>
  <c r="AF46" i="1"/>
  <c r="AF42" i="1"/>
  <c r="AF36" i="1"/>
  <c r="AF31" i="1"/>
  <c r="AF26" i="1"/>
  <c r="AF20" i="1"/>
  <c r="AF15" i="1"/>
  <c r="AF10" i="1"/>
  <c r="G6" i="1"/>
  <c r="AI102" i="1" l="1"/>
  <c r="AI98" i="1"/>
  <c r="AI94" i="1"/>
  <c r="AI90" i="1"/>
  <c r="AI86" i="1"/>
  <c r="AI82" i="1"/>
  <c r="AI78" i="1"/>
  <c r="AI74" i="1"/>
  <c r="AI70" i="1"/>
  <c r="AI66" i="1"/>
  <c r="AI62" i="1"/>
  <c r="AI58" i="1"/>
  <c r="AI54" i="1"/>
  <c r="AI50" i="1"/>
  <c r="AI46" i="1"/>
  <c r="AI42" i="1"/>
  <c r="AI38" i="1"/>
  <c r="AI34" i="1"/>
  <c r="AI30" i="1"/>
  <c r="AI26" i="1"/>
  <c r="AI22" i="1"/>
  <c r="AI18" i="1"/>
  <c r="AI14" i="1"/>
  <c r="AI10" i="1"/>
  <c r="AI6" i="1"/>
  <c r="AI100" i="1"/>
  <c r="AI93" i="1"/>
  <c r="AI91" i="1"/>
  <c r="AI84" i="1"/>
  <c r="AI77" i="1"/>
  <c r="AI75" i="1"/>
  <c r="AI68" i="1"/>
  <c r="AI61" i="1"/>
  <c r="AI59" i="1"/>
  <c r="AI52" i="1"/>
  <c r="AI45" i="1"/>
  <c r="AI43" i="1"/>
  <c r="AI36" i="1"/>
  <c r="AI29" i="1"/>
  <c r="AI27" i="1"/>
  <c r="AI20" i="1"/>
  <c r="AI13" i="1"/>
  <c r="AI11" i="1"/>
  <c r="AI4" i="1"/>
  <c r="AI96" i="1"/>
  <c r="AI89" i="1"/>
  <c r="AI87" i="1"/>
  <c r="AI80" i="1"/>
  <c r="AI73" i="1"/>
  <c r="AI71" i="1"/>
  <c r="AI64" i="1"/>
  <c r="AI57" i="1"/>
  <c r="AI55" i="1"/>
  <c r="AI48" i="1"/>
  <c r="AI41" i="1"/>
  <c r="AI39" i="1"/>
  <c r="AI32" i="1"/>
  <c r="AI25" i="1"/>
  <c r="AI23" i="1"/>
  <c r="AI16" i="1"/>
  <c r="AI9" i="1"/>
  <c r="AI7" i="1"/>
  <c r="AI101" i="1"/>
  <c r="AI99" i="1"/>
  <c r="AI92" i="1"/>
  <c r="AI85" i="1"/>
  <c r="AI83" i="1"/>
  <c r="AI76" i="1"/>
  <c r="AI69" i="1"/>
  <c r="AI51" i="1"/>
  <c r="AI44" i="1"/>
  <c r="AI37" i="1"/>
  <c r="AI19" i="1"/>
  <c r="AI12" i="1"/>
  <c r="AI5" i="1"/>
  <c r="AI79" i="1"/>
  <c r="AI72" i="1"/>
  <c r="AI65" i="1"/>
  <c r="AI47" i="1"/>
  <c r="AI40" i="1"/>
  <c r="AI33" i="1"/>
  <c r="AI15" i="1"/>
  <c r="AI8" i="1"/>
  <c r="AI97" i="1"/>
  <c r="AI67" i="1"/>
  <c r="AI60" i="1"/>
  <c r="AI53" i="1"/>
  <c r="AI35" i="1"/>
  <c r="AI28" i="1"/>
  <c r="AI21" i="1"/>
  <c r="AI3" i="1"/>
  <c r="AI95" i="1"/>
  <c r="AI88" i="1"/>
  <c r="AI81" i="1"/>
  <c r="AI63" i="1"/>
  <c r="AI56" i="1"/>
  <c r="AI49" i="1"/>
  <c r="AI31" i="1"/>
  <c r="AI24" i="1"/>
  <c r="AI17" i="1"/>
  <c r="G9" i="1"/>
  <c r="G8" i="1"/>
  <c r="G7" i="1"/>
  <c r="G5" i="1"/>
  <c r="G12" i="1" l="1"/>
  <c r="G4" i="1"/>
  <c r="AA3" i="1" l="1"/>
  <c r="AH14" i="1" l="1"/>
  <c r="AH18" i="1"/>
  <c r="AH22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7" i="1"/>
  <c r="AH11" i="1"/>
  <c r="AH15" i="1"/>
  <c r="AH19" i="1"/>
  <c r="AH23" i="1"/>
  <c r="AH27" i="1"/>
  <c r="AH16" i="1"/>
  <c r="AH20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5" i="1"/>
  <c r="AH9" i="1"/>
  <c r="AH13" i="1"/>
  <c r="AC3" i="1"/>
  <c r="AH17" i="1"/>
  <c r="AH21" i="1"/>
  <c r="AH25" i="1"/>
  <c r="AH29" i="1"/>
  <c r="AH33" i="1"/>
  <c r="AH31" i="1"/>
  <c r="AH41" i="1"/>
  <c r="AH49" i="1"/>
  <c r="AH57" i="1"/>
  <c r="AH65" i="1"/>
  <c r="AH73" i="1"/>
  <c r="AH81" i="1"/>
  <c r="AH89" i="1"/>
  <c r="AH97" i="1"/>
  <c r="AH6" i="1"/>
  <c r="AH3" i="1"/>
  <c r="AH37" i="1"/>
  <c r="AH45" i="1"/>
  <c r="AH53" i="1"/>
  <c r="AH61" i="1"/>
  <c r="AH69" i="1"/>
  <c r="AH77" i="1"/>
  <c r="AH85" i="1"/>
  <c r="AH101" i="1"/>
  <c r="AH10" i="1"/>
  <c r="AH47" i="1"/>
  <c r="AH63" i="1"/>
  <c r="AH79" i="1"/>
  <c r="AH95" i="1"/>
  <c r="AH12" i="1"/>
  <c r="AH35" i="1"/>
  <c r="AH43" i="1"/>
  <c r="AH51" i="1"/>
  <c r="AH59" i="1"/>
  <c r="AH67" i="1"/>
  <c r="AH75" i="1"/>
  <c r="AH83" i="1"/>
  <c r="AH91" i="1"/>
  <c r="AH99" i="1"/>
  <c r="AH8" i="1"/>
  <c r="AH93" i="1"/>
  <c r="AH39" i="1"/>
  <c r="AH55" i="1"/>
  <c r="AH71" i="1"/>
  <c r="AH87" i="1"/>
  <c r="AH4" i="1"/>
  <c r="AG100" i="1"/>
  <c r="AG96" i="1"/>
  <c r="AG92" i="1"/>
  <c r="AG88" i="1"/>
  <c r="AG84" i="1"/>
  <c r="AG80" i="1"/>
  <c r="AG76" i="1"/>
  <c r="AG72" i="1"/>
  <c r="AG68" i="1"/>
  <c r="AG64" i="1"/>
  <c r="AG60" i="1"/>
  <c r="AG56" i="1"/>
  <c r="AG52" i="1"/>
  <c r="AG48" i="1"/>
  <c r="AG44" i="1"/>
  <c r="AG40" i="1"/>
  <c r="AG36" i="1"/>
  <c r="AG32" i="1"/>
  <c r="AG28" i="1"/>
  <c r="AG24" i="1"/>
  <c r="AG20" i="1"/>
  <c r="AG16" i="1"/>
  <c r="AG12" i="1"/>
  <c r="AG8" i="1"/>
  <c r="AG4" i="1"/>
  <c r="AG99" i="1"/>
  <c r="AG97" i="1"/>
  <c r="AG90" i="1"/>
  <c r="AG83" i="1"/>
  <c r="AG81" i="1"/>
  <c r="AG74" i="1"/>
  <c r="AG67" i="1"/>
  <c r="AG65" i="1"/>
  <c r="AG58" i="1"/>
  <c r="AG51" i="1"/>
  <c r="AG49" i="1"/>
  <c r="AG42" i="1"/>
  <c r="AG35" i="1"/>
  <c r="AG33" i="1"/>
  <c r="AG26" i="1"/>
  <c r="AG19" i="1"/>
  <c r="AG17" i="1"/>
  <c r="AG10" i="1"/>
  <c r="AG3" i="1"/>
  <c r="AG102" i="1"/>
  <c r="AG95" i="1"/>
  <c r="AG93" i="1"/>
  <c r="AG86" i="1"/>
  <c r="AG79" i="1"/>
  <c r="AG77" i="1"/>
  <c r="AG70" i="1"/>
  <c r="AG63" i="1"/>
  <c r="AG61" i="1"/>
  <c r="AG54" i="1"/>
  <c r="AG47" i="1"/>
  <c r="AG45" i="1"/>
  <c r="AG38" i="1"/>
  <c r="AG31" i="1"/>
  <c r="AG29" i="1"/>
  <c r="AG22" i="1"/>
  <c r="AG15" i="1"/>
  <c r="AG13" i="1"/>
  <c r="AG6" i="1"/>
  <c r="AG98" i="1"/>
  <c r="AG91" i="1"/>
  <c r="AG89" i="1"/>
  <c r="AG82" i="1"/>
  <c r="AG101" i="1"/>
  <c r="AG94" i="1"/>
  <c r="AG87" i="1"/>
  <c r="AG73" i="1"/>
  <c r="AG66" i="1"/>
  <c r="AG59" i="1"/>
  <c r="AG41" i="1"/>
  <c r="AG34" i="1"/>
  <c r="AG27" i="1"/>
  <c r="AG9" i="1"/>
  <c r="AG85" i="1"/>
  <c r="AG69" i="1"/>
  <c r="AG62" i="1"/>
  <c r="AG55" i="1"/>
  <c r="AG37" i="1"/>
  <c r="AG30" i="1"/>
  <c r="AG23" i="1"/>
  <c r="AG5" i="1"/>
  <c r="AG75" i="1"/>
  <c r="AG57" i="1"/>
  <c r="AG50" i="1"/>
  <c r="AG43" i="1"/>
  <c r="AG25" i="1"/>
  <c r="AG18" i="1"/>
  <c r="AG11" i="1"/>
  <c r="AG78" i="1"/>
  <c r="AG71" i="1"/>
  <c r="AG53" i="1"/>
  <c r="AG46" i="1"/>
  <c r="AG39" i="1"/>
  <c r="AG21" i="1"/>
  <c r="AG14" i="1"/>
  <c r="AG7" i="1"/>
  <c r="AD3" i="1"/>
  <c r="AB3" i="1"/>
  <c r="AB5" i="1"/>
  <c r="AB7" i="1"/>
  <c r="AB9" i="1"/>
  <c r="AB11" i="1"/>
  <c r="AB13" i="1"/>
  <c r="AB15" i="1"/>
  <c r="AB17" i="1"/>
  <c r="AB19" i="1"/>
  <c r="AB21" i="1"/>
  <c r="AB23" i="1"/>
  <c r="AB25" i="1"/>
  <c r="AB27" i="1"/>
  <c r="AB29" i="1"/>
  <c r="AB31" i="1"/>
  <c r="AB33" i="1"/>
  <c r="AB35" i="1"/>
  <c r="AB37" i="1"/>
  <c r="AB39" i="1"/>
  <c r="AB41" i="1"/>
  <c r="AB43" i="1"/>
  <c r="AB45" i="1"/>
  <c r="AB47" i="1"/>
  <c r="AB49" i="1"/>
  <c r="AB51" i="1"/>
  <c r="AB53" i="1"/>
  <c r="AB55" i="1"/>
  <c r="AB57" i="1"/>
  <c r="AB59" i="1"/>
  <c r="AB61" i="1"/>
  <c r="AB63" i="1"/>
  <c r="AB65" i="1"/>
  <c r="AB67" i="1"/>
  <c r="AB69" i="1"/>
  <c r="AB71" i="1"/>
  <c r="AB73" i="1"/>
  <c r="AB75" i="1"/>
  <c r="AB77" i="1"/>
  <c r="AB79" i="1"/>
  <c r="AB81" i="1"/>
  <c r="AB83" i="1"/>
  <c r="AB85" i="1"/>
  <c r="AB87" i="1"/>
  <c r="AB89" i="1"/>
  <c r="AB91" i="1"/>
  <c r="AB93" i="1"/>
  <c r="AB95" i="1"/>
  <c r="AB97" i="1"/>
  <c r="AB99" i="1"/>
  <c r="AB101" i="1"/>
  <c r="AB4" i="1"/>
  <c r="AB8" i="1"/>
  <c r="AB12" i="1"/>
  <c r="AB16" i="1"/>
  <c r="AB20" i="1"/>
  <c r="AB24" i="1"/>
  <c r="AB28" i="1"/>
  <c r="AB32" i="1"/>
  <c r="AB36" i="1"/>
  <c r="AB40" i="1"/>
  <c r="AB44" i="1"/>
  <c r="AB48" i="1"/>
  <c r="AB52" i="1"/>
  <c r="AB56" i="1"/>
  <c r="AB60" i="1"/>
  <c r="AB64" i="1"/>
  <c r="AB68" i="1"/>
  <c r="AB72" i="1"/>
  <c r="AB80" i="1"/>
  <c r="AB88" i="1"/>
  <c r="AB96" i="1"/>
  <c r="AB78" i="1"/>
  <c r="AB86" i="1"/>
  <c r="AB94" i="1"/>
  <c r="AB102" i="1"/>
  <c r="AB6" i="1"/>
  <c r="AB10" i="1"/>
  <c r="AB14" i="1"/>
  <c r="AB18" i="1"/>
  <c r="AB22" i="1"/>
  <c r="AB26" i="1"/>
  <c r="AB30" i="1"/>
  <c r="AB34" i="1"/>
  <c r="AB38" i="1"/>
  <c r="AB42" i="1"/>
  <c r="AB46" i="1"/>
  <c r="AB50" i="1"/>
  <c r="AB54" i="1"/>
  <c r="AB58" i="1"/>
  <c r="AB62" i="1"/>
  <c r="AB66" i="1"/>
  <c r="AB70" i="1"/>
  <c r="AB76" i="1"/>
  <c r="AB84" i="1"/>
  <c r="AB92" i="1"/>
  <c r="AB100" i="1"/>
  <c r="AB74" i="1"/>
  <c r="AB82" i="1"/>
  <c r="AB90" i="1"/>
  <c r="AB98" i="1"/>
  <c r="G10" i="1"/>
  <c r="G11" i="1" s="1"/>
  <c r="AA4" i="1"/>
  <c r="AC4" i="1" s="1"/>
  <c r="AA6" i="1"/>
  <c r="AC6" i="1" s="1"/>
  <c r="AA8" i="1"/>
  <c r="AC8" i="1" s="1"/>
  <c r="AA10" i="1"/>
  <c r="AC10" i="1" s="1"/>
  <c r="AA12" i="1"/>
  <c r="AC12" i="1" s="1"/>
  <c r="AA14" i="1"/>
  <c r="AC14" i="1" s="1"/>
  <c r="AA16" i="1"/>
  <c r="AC16" i="1" s="1"/>
  <c r="AA18" i="1"/>
  <c r="AC18" i="1" s="1"/>
  <c r="AA20" i="1"/>
  <c r="AC20" i="1" s="1"/>
  <c r="AA22" i="1"/>
  <c r="AC22" i="1" s="1"/>
  <c r="AA24" i="1"/>
  <c r="AC24" i="1" s="1"/>
  <c r="AA26" i="1"/>
  <c r="AC26" i="1" s="1"/>
  <c r="AA28" i="1"/>
  <c r="AC28" i="1" s="1"/>
  <c r="AA30" i="1"/>
  <c r="AC30" i="1" s="1"/>
  <c r="AA32" i="1"/>
  <c r="AC32" i="1" s="1"/>
  <c r="AA34" i="1"/>
  <c r="AC34" i="1" s="1"/>
  <c r="AA36" i="1"/>
  <c r="AC36" i="1" s="1"/>
  <c r="AA38" i="1"/>
  <c r="AC38" i="1" s="1"/>
  <c r="AA40" i="1"/>
  <c r="AC40" i="1" s="1"/>
  <c r="AA42" i="1"/>
  <c r="AC42" i="1" s="1"/>
  <c r="AA44" i="1"/>
  <c r="AC44" i="1" s="1"/>
  <c r="AA46" i="1"/>
  <c r="AC46" i="1" s="1"/>
  <c r="AA48" i="1"/>
  <c r="AC48" i="1" s="1"/>
  <c r="AA50" i="1"/>
  <c r="AC50" i="1" s="1"/>
  <c r="AA52" i="1"/>
  <c r="AC52" i="1" s="1"/>
  <c r="AA54" i="1"/>
  <c r="AC54" i="1" s="1"/>
  <c r="AA56" i="1"/>
  <c r="AC56" i="1" s="1"/>
  <c r="AA58" i="1"/>
  <c r="AC58" i="1" s="1"/>
  <c r="AA60" i="1"/>
  <c r="AC60" i="1" s="1"/>
  <c r="AA62" i="1"/>
  <c r="AC62" i="1" s="1"/>
  <c r="AA64" i="1"/>
  <c r="AC64" i="1" s="1"/>
  <c r="AA66" i="1"/>
  <c r="AC66" i="1" s="1"/>
  <c r="AA68" i="1"/>
  <c r="AC68" i="1" s="1"/>
  <c r="AA70" i="1"/>
  <c r="AC70" i="1" s="1"/>
  <c r="AA72" i="1"/>
  <c r="AC72" i="1" s="1"/>
  <c r="AA75" i="1"/>
  <c r="AC75" i="1" s="1"/>
  <c r="AA78" i="1"/>
  <c r="AC78" i="1" s="1"/>
  <c r="AA83" i="1"/>
  <c r="AC83" i="1" s="1"/>
  <c r="AA86" i="1"/>
  <c r="AC86" i="1" s="1"/>
  <c r="AA91" i="1"/>
  <c r="AC91" i="1" s="1"/>
  <c r="AA94" i="1"/>
  <c r="AC94" i="1" s="1"/>
  <c r="AA99" i="1"/>
  <c r="AC99" i="1" s="1"/>
  <c r="AA102" i="1"/>
  <c r="AC102" i="1" s="1"/>
  <c r="AA5" i="1"/>
  <c r="AC5" i="1" s="1"/>
  <c r="AA9" i="1"/>
  <c r="AC9" i="1" s="1"/>
  <c r="AA13" i="1"/>
  <c r="AC13" i="1" s="1"/>
  <c r="AA17" i="1"/>
  <c r="AC17" i="1" s="1"/>
  <c r="AA21" i="1"/>
  <c r="AC21" i="1" s="1"/>
  <c r="AA25" i="1"/>
  <c r="AC25" i="1" s="1"/>
  <c r="AA29" i="1"/>
  <c r="AC29" i="1" s="1"/>
  <c r="AA33" i="1"/>
  <c r="AC33" i="1" s="1"/>
  <c r="AA37" i="1"/>
  <c r="AC37" i="1" s="1"/>
  <c r="AA41" i="1"/>
  <c r="AC41" i="1" s="1"/>
  <c r="AA45" i="1"/>
  <c r="AC45" i="1" s="1"/>
  <c r="AA49" i="1"/>
  <c r="AC49" i="1" s="1"/>
  <c r="AA53" i="1"/>
  <c r="AC53" i="1" s="1"/>
  <c r="AA57" i="1"/>
  <c r="AC57" i="1" s="1"/>
  <c r="AA61" i="1"/>
  <c r="AC61" i="1" s="1"/>
  <c r="AA65" i="1"/>
  <c r="AC65" i="1" s="1"/>
  <c r="AA69" i="1"/>
  <c r="AC69" i="1" s="1"/>
  <c r="AA73" i="1"/>
  <c r="AC73" i="1" s="1"/>
  <c r="AA76" i="1"/>
  <c r="AC76" i="1" s="1"/>
  <c r="AA81" i="1"/>
  <c r="AC81" i="1" s="1"/>
  <c r="AA84" i="1"/>
  <c r="AC84" i="1" s="1"/>
  <c r="AA89" i="1"/>
  <c r="AC89" i="1" s="1"/>
  <c r="AA92" i="1"/>
  <c r="AC92" i="1" s="1"/>
  <c r="AA97" i="1"/>
  <c r="AC97" i="1" s="1"/>
  <c r="AA100" i="1"/>
  <c r="AC100" i="1" s="1"/>
  <c r="AA74" i="1"/>
  <c r="AC74" i="1" s="1"/>
  <c r="AA79" i="1"/>
  <c r="AC79" i="1" s="1"/>
  <c r="AA82" i="1"/>
  <c r="AC82" i="1" s="1"/>
  <c r="AA87" i="1"/>
  <c r="AC87" i="1" s="1"/>
  <c r="AA90" i="1"/>
  <c r="AC90" i="1" s="1"/>
  <c r="AA95" i="1"/>
  <c r="AC95" i="1" s="1"/>
  <c r="AA98" i="1"/>
  <c r="AC98" i="1" s="1"/>
  <c r="AA7" i="1"/>
  <c r="AC7" i="1" s="1"/>
  <c r="AA11" i="1"/>
  <c r="AC11" i="1" s="1"/>
  <c r="AA15" i="1"/>
  <c r="AC15" i="1" s="1"/>
  <c r="AA19" i="1"/>
  <c r="AC19" i="1" s="1"/>
  <c r="AA23" i="1"/>
  <c r="AC23" i="1" s="1"/>
  <c r="AA27" i="1"/>
  <c r="AC27" i="1" s="1"/>
  <c r="AA31" i="1"/>
  <c r="AC31" i="1" s="1"/>
  <c r="AA35" i="1"/>
  <c r="AC35" i="1" s="1"/>
  <c r="AA39" i="1"/>
  <c r="AC39" i="1" s="1"/>
  <c r="AA43" i="1"/>
  <c r="AC43" i="1" s="1"/>
  <c r="AA47" i="1"/>
  <c r="AC47" i="1" s="1"/>
  <c r="AA51" i="1"/>
  <c r="AC51" i="1" s="1"/>
  <c r="AA55" i="1"/>
  <c r="AC55" i="1" s="1"/>
  <c r="AA59" i="1"/>
  <c r="AC59" i="1" s="1"/>
  <c r="AA63" i="1"/>
  <c r="AC63" i="1" s="1"/>
  <c r="AA67" i="1"/>
  <c r="AC67" i="1" s="1"/>
  <c r="AA71" i="1"/>
  <c r="AC71" i="1" s="1"/>
  <c r="AA77" i="1"/>
  <c r="AC77" i="1" s="1"/>
  <c r="AA80" i="1"/>
  <c r="AC80" i="1" s="1"/>
  <c r="AA85" i="1"/>
  <c r="AC85" i="1" s="1"/>
  <c r="AA88" i="1"/>
  <c r="AC88" i="1" s="1"/>
  <c r="AA93" i="1"/>
  <c r="AC93" i="1" s="1"/>
  <c r="AA96" i="1"/>
  <c r="AC96" i="1" s="1"/>
  <c r="AA101" i="1"/>
  <c r="AC101" i="1" s="1"/>
  <c r="AD71" i="1" l="1"/>
  <c r="AD23" i="1"/>
  <c r="AD84" i="1"/>
  <c r="AD21" i="1"/>
  <c r="AD75" i="1"/>
  <c r="AD50" i="1"/>
  <c r="AD34" i="1"/>
  <c r="AD18" i="1"/>
  <c r="AD10" i="1"/>
  <c r="AD85" i="1"/>
  <c r="AD51" i="1"/>
  <c r="AD93" i="1"/>
  <c r="AD77" i="1"/>
  <c r="AD59" i="1"/>
  <c r="AD43" i="1"/>
  <c r="AD27" i="1"/>
  <c r="AD11" i="1"/>
  <c r="AD90" i="1"/>
  <c r="AD74" i="1"/>
  <c r="AD89" i="1"/>
  <c r="AD73" i="1"/>
  <c r="AD57" i="1"/>
  <c r="AD41" i="1"/>
  <c r="AD25" i="1"/>
  <c r="AD9" i="1"/>
  <c r="AD94" i="1"/>
  <c r="AD78" i="1"/>
  <c r="AD68" i="1"/>
  <c r="AD60" i="1"/>
  <c r="AD52" i="1"/>
  <c r="AD44" i="1"/>
  <c r="AD36" i="1"/>
  <c r="AD28" i="1"/>
  <c r="AD20" i="1"/>
  <c r="AD12" i="1"/>
  <c r="AD4" i="1"/>
  <c r="AD88" i="1"/>
  <c r="AD55" i="1"/>
  <c r="AD39" i="1"/>
  <c r="AD7" i="1"/>
  <c r="AD87" i="1"/>
  <c r="AD100" i="1"/>
  <c r="AD69" i="1"/>
  <c r="AD53" i="1"/>
  <c r="AD37" i="1"/>
  <c r="AD5" i="1"/>
  <c r="AD91" i="1"/>
  <c r="AD66" i="1"/>
  <c r="AD58" i="1"/>
  <c r="AD42" i="1"/>
  <c r="AD26" i="1"/>
  <c r="AD101" i="1"/>
  <c r="AD67" i="1"/>
  <c r="AD35" i="1"/>
  <c r="AD19" i="1"/>
  <c r="AD98" i="1"/>
  <c r="AD82" i="1"/>
  <c r="AD97" i="1"/>
  <c r="AD81" i="1"/>
  <c r="AD65" i="1"/>
  <c r="AD49" i="1"/>
  <c r="AD33" i="1"/>
  <c r="AD17" i="1"/>
  <c r="AD102" i="1"/>
  <c r="AD86" i="1"/>
  <c r="AD72" i="1"/>
  <c r="AD64" i="1"/>
  <c r="AD56" i="1"/>
  <c r="AD48" i="1"/>
  <c r="AD40" i="1"/>
  <c r="AD32" i="1"/>
  <c r="AD24" i="1"/>
  <c r="AD16" i="1"/>
  <c r="AD8" i="1"/>
  <c r="AD96" i="1"/>
  <c r="AD80" i="1"/>
  <c r="AD63" i="1"/>
  <c r="AD47" i="1"/>
  <c r="AD31" i="1"/>
  <c r="AD15" i="1"/>
  <c r="AD95" i="1"/>
  <c r="AD79" i="1"/>
  <c r="AD92" i="1"/>
  <c r="AD76" i="1"/>
  <c r="AD61" i="1"/>
  <c r="AD45" i="1"/>
  <c r="AD29" i="1"/>
  <c r="AD13" i="1"/>
  <c r="AD99" i="1"/>
  <c r="AD83" i="1"/>
  <c r="AD70" i="1"/>
  <c r="AD62" i="1"/>
  <c r="AD54" i="1"/>
  <c r="AD46" i="1"/>
  <c r="AD38" i="1"/>
  <c r="AD30" i="1"/>
  <c r="AD22" i="1"/>
  <c r="AD14" i="1"/>
  <c r="AD6" i="1"/>
</calcChain>
</file>

<file path=xl/sharedStrings.xml><?xml version="1.0" encoding="utf-8"?>
<sst xmlns="http://schemas.openxmlformats.org/spreadsheetml/2006/main" count="63" uniqueCount="59">
  <si>
    <t>No.</t>
    <phoneticPr fontId="1"/>
  </si>
  <si>
    <t>Process</t>
    <phoneticPr fontId="1"/>
  </si>
  <si>
    <t>Mean</t>
    <phoneticPr fontId="1"/>
  </si>
  <si>
    <t>Mode</t>
    <phoneticPr fontId="1"/>
  </si>
  <si>
    <t>Min</t>
    <phoneticPr fontId="1"/>
  </si>
  <si>
    <t>Max</t>
    <phoneticPr fontId="1"/>
  </si>
  <si>
    <t>Cycle / m</t>
    <phoneticPr fontId="1"/>
  </si>
  <si>
    <t>Cycle / h</t>
    <phoneticPr fontId="1"/>
  </si>
  <si>
    <t>sec/min</t>
    <phoneticPr fontId="1"/>
  </si>
  <si>
    <t>sec</t>
    <phoneticPr fontId="1"/>
  </si>
  <si>
    <t>Sample(N)</t>
    <phoneticPr fontId="1"/>
  </si>
  <si>
    <t>case</t>
    <phoneticPr fontId="1"/>
  </si>
  <si>
    <t>sec</t>
    <phoneticPr fontId="1"/>
  </si>
  <si>
    <t>C/min</t>
    <phoneticPr fontId="1"/>
  </si>
  <si>
    <t>C/hour</t>
    <phoneticPr fontId="1"/>
  </si>
  <si>
    <t>Mean</t>
    <phoneticPr fontId="1"/>
  </si>
  <si>
    <t>Median</t>
    <phoneticPr fontId="1"/>
  </si>
  <si>
    <t>SD</t>
    <phoneticPr fontId="1"/>
  </si>
  <si>
    <t>Title:</t>
    <phoneticPr fontId="1"/>
  </si>
  <si>
    <t>KI Stopwatch</t>
    <phoneticPr fontId="1"/>
  </si>
  <si>
    <t xml:space="preserve">Instruction </t>
    <phoneticPr fontId="1"/>
  </si>
  <si>
    <t>Open the Control Panel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</si>
  <si>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</si>
  <si>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</si>
  <si>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</si>
  <si>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</si>
  <si>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Select type of second</t>
    <phoneticPr fontId="1"/>
  </si>
  <si>
    <t>Start stopwatch</t>
    <phoneticPr fontId="1"/>
  </si>
  <si>
    <t>Record lap time</t>
    <phoneticPr fontId="1"/>
  </si>
  <si>
    <t>⑤</t>
    <phoneticPr fontId="1"/>
  </si>
  <si>
    <t>Reset sheet</t>
    <phoneticPr fontId="1"/>
  </si>
  <si>
    <t>⑥</t>
    <phoneticPr fontId="1"/>
  </si>
  <si>
    <t>Stop stopwatch</t>
    <phoneticPr fontId="1"/>
  </si>
  <si>
    <t>Second Type:</t>
    <phoneticPr fontId="1"/>
  </si>
  <si>
    <t>You can select the second type.</t>
    <phoneticPr fontId="1"/>
  </si>
  <si>
    <t xml:space="preserve">  60 sec/min : Normal clock time</t>
    <phoneticPr fontId="1"/>
  </si>
  <si>
    <t xml:space="preserve">  100 sec/min: Decimal clock time for IE</t>
    <phoneticPr fontId="1"/>
  </si>
  <si>
    <t>Help</t>
    <phoneticPr fontId="1"/>
  </si>
  <si>
    <t>Go Back</t>
    <phoneticPr fontId="1"/>
  </si>
  <si>
    <t>⑦</t>
    <phoneticPr fontId="1"/>
  </si>
  <si>
    <t>Make copy sheet</t>
    <phoneticPr fontId="1"/>
  </si>
  <si>
    <t>If you have any question, please contact</t>
    <phoneticPr fontId="1"/>
  </si>
  <si>
    <t>Kazuyuki.Igeta@nobelbicare.com</t>
    <phoneticPr fontId="1"/>
  </si>
  <si>
    <t>sec</t>
    <phoneticPr fontId="1"/>
  </si>
  <si>
    <t>Working Area (DO NOT DELETE)</t>
    <phoneticPr fontId="1"/>
  </si>
  <si>
    <t>Lap Time(s)</t>
    <phoneticPr fontId="1"/>
  </si>
  <si>
    <t>CT(s)</t>
    <phoneticPr fontId="1"/>
  </si>
  <si>
    <t>Pause stopwatch</t>
    <phoneticPr fontId="1"/>
  </si>
  <si>
    <t>⑧</t>
    <phoneticPr fontId="1"/>
  </si>
  <si>
    <t>Discard last paused record</t>
    <phoneticPr fontId="1"/>
  </si>
  <si>
    <t>⑨</t>
    <phoneticPr fontId="1"/>
  </si>
  <si>
    <t>-1SD</t>
    <phoneticPr fontId="1"/>
  </si>
  <si>
    <t>+1SD</t>
    <phoneticPr fontId="1"/>
  </si>
  <si>
    <t>Rs</t>
    <phoneticPr fontId="1"/>
  </si>
  <si>
    <t>Rs bar</t>
    <phoneticPr fontId="1"/>
  </si>
  <si>
    <t>Rs UCL</t>
    <phoneticPr fontId="1"/>
  </si>
  <si>
    <t>UCL</t>
    <phoneticPr fontId="1"/>
  </si>
  <si>
    <t>LCL</t>
    <phoneticPr fontId="1"/>
  </si>
  <si>
    <t>v1.206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</si>
</sst>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_ "/>
    <numFmt numFmtId="177" formatCode="0.0_);[Red]\(0.0\)"/>
    <numFmt numFmtId="178" formatCode="0.00_);[Red]\(0.00\)"/>
    <numFmt numFmtId="179" formatCode="0.0000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4"/>
      <color theme="0"/>
      <name val="Segoe UI"/>
      <family val="2"/>
    </font>
    <font>
      <b/>
      <sz val="22"/>
      <color theme="0"/>
      <name val="Segoe UI"/>
      <family val="2"/>
    </font>
    <font>
      <b/>
      <sz val="12"/>
      <color theme="0"/>
      <name val="Segoe UI"/>
      <family val="2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Segoe"/>
    </font>
    <font>
      <b/>
      <sz val="12"/>
      <color theme="7" tint="0.79998168889431442"/>
      <name val="Arial Narrow"/>
      <family val="2"/>
    </font>
    <font>
      <b/>
      <sz val="20"/>
      <color theme="0"/>
      <name val="Segoe UI"/>
      <family val="2"/>
    </font>
    <font>
      <b/>
      <sz val="14"/>
      <color theme="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i/>
      <sz val="18"/>
      <color theme="0"/>
      <name val="Segoe UI"/>
      <family val="2"/>
    </font>
    <font>
      <b/>
      <sz val="11"/>
      <color theme="0"/>
      <name val="Segoe UI"/>
      <family val="2"/>
    </font>
    <font>
      <u/>
      <sz val="11"/>
      <color theme="10"/>
      <name val="游ゴシック"/>
      <family val="2"/>
      <charset val="128"/>
      <scheme val="minor"/>
    </font>
    <font>
      <b/>
      <u/>
      <sz val="12"/>
      <color rgb="FFFFFF00"/>
      <name val="Segoe"/>
    </font>
    <font>
      <b/>
      <sz val="11"/>
      <color theme="0"/>
      <name val="游ゴシック"/>
      <family val="3"/>
      <charset val="128"/>
      <scheme val="minor"/>
    </font>
    <font>
      <b/>
      <u/>
      <sz val="11"/>
      <color rgb="FFFF0000"/>
      <name val="游ゴシック"/>
      <family val="3"/>
      <charset val="128"/>
      <scheme val="minor"/>
    </font>
    <font>
      <sz val="9"/>
      <color rgb="FFFF000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33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2" fillId="2" borderId="0" xfId="0" applyNumberFormat="1" applyFont="1" applyFill="1" applyAlignment="1">
      <alignment horizontal="left" vertical="center"/>
    </xf>
    <xf numFmtId="176" fontId="4" fillId="2" borderId="0" xfId="0" applyNumberFormat="1" applyFont="1" applyFill="1" applyAlignment="1">
      <alignment horizontal="left"/>
    </xf>
    <xf numFmtId="176" fontId="3" fillId="2" borderId="0" xfId="0" applyNumberFormat="1" applyFont="1" applyFill="1" applyAlignment="1">
      <alignment horizontal="left"/>
    </xf>
    <xf numFmtId="0" fontId="5" fillId="3" borderId="1" xfId="0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/>
    <xf numFmtId="0" fontId="6" fillId="0" borderId="0" xfId="0" applyFont="1" applyAlignment="1"/>
    <xf numFmtId="0" fontId="7" fillId="4" borderId="2" xfId="0" applyFont="1" applyFill="1" applyBorder="1" applyAlignment="1">
      <alignment horizontal="center" vertical="center"/>
    </xf>
    <xf numFmtId="0" fontId="7" fillId="4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0" fontId="0" fillId="6" borderId="0" xfId="0" applyFill="1">
      <alignment vertical="center"/>
    </xf>
    <xf numFmtId="0" fontId="0" fillId="6" borderId="5" xfId="0" applyFill="1" applyBorder="1">
      <alignment vertical="center"/>
    </xf>
    <xf numFmtId="178" fontId="0" fillId="6" borderId="0" xfId="0" applyNumberFormat="1" applyFill="1">
      <alignment vertical="center"/>
    </xf>
    <xf numFmtId="178" fontId="0" fillId="6" borderId="5" xfId="0" applyNumberFormat="1" applyFill="1" applyBorder="1">
      <alignment vertical="center"/>
    </xf>
    <xf numFmtId="176" fontId="5" fillId="3" borderId="6" xfId="0" applyNumberFormat="1" applyFont="1" applyFill="1" applyBorder="1" applyAlignment="1">
      <alignment horizontal="center" vertical="center"/>
    </xf>
    <xf numFmtId="176" fontId="8" fillId="2" borderId="0" xfId="0" applyNumberFormat="1" applyFont="1" applyFill="1" applyAlignment="1">
      <alignment horizontal="left"/>
    </xf>
    <xf numFmtId="176" fontId="11" fillId="2" borderId="0" xfId="0" applyNumberFormat="1" applyFont="1" applyFill="1" applyAlignment="1">
      <alignment horizontal="right"/>
    </xf>
    <xf numFmtId="176" fontId="12" fillId="2" borderId="0" xfId="0" applyNumberFormat="1" applyFont="1" applyFill="1" applyAlignment="1">
      <alignment horizontal="left"/>
    </xf>
    <xf numFmtId="176" fontId="14" fillId="2" borderId="0" xfId="1" applyNumberFormat="1" applyFont="1" applyFill="1" applyAlignment="1">
      <alignment horizontal="right"/>
    </xf>
    <xf numFmtId="0" fontId="0" fillId="8" borderId="0" xfId="0" applyFill="1" applyBorder="1">
      <alignment vertical="center"/>
    </xf>
    <xf numFmtId="0" fontId="0" fillId="8" borderId="13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0" fontId="0" fillId="8" borderId="10" xfId="0" applyFill="1" applyBorder="1">
      <alignment vertical="center"/>
    </xf>
    <xf numFmtId="0" fontId="0" fillId="8" borderId="0" xfId="0" applyFill="1" applyBorder="1" applyAlignment="1">
      <alignment horizontal="right" vertical="center"/>
    </xf>
    <xf numFmtId="0" fontId="0" fillId="8" borderId="11" xfId="0" applyFill="1" applyBorder="1">
      <alignment vertical="center"/>
    </xf>
    <xf numFmtId="0" fontId="0" fillId="8" borderId="14" xfId="0" applyFill="1" applyBorder="1">
      <alignment vertical="center"/>
    </xf>
    <xf numFmtId="0" fontId="0" fillId="8" borderId="12" xfId="0" applyFill="1" applyBorder="1">
      <alignment vertical="center"/>
    </xf>
    <xf numFmtId="0" fontId="13" fillId="8" borderId="0" xfId="1" applyFill="1" applyBorder="1">
      <alignment vertical="center"/>
    </xf>
    <xf numFmtId="0" fontId="16" fillId="9" borderId="7" xfId="1" applyFont="1" applyFill="1" applyBorder="1" applyAlignment="1">
      <alignment horizontal="center" vertical="center"/>
    </xf>
    <xf numFmtId="0" fontId="5" fillId="10" borderId="10" xfId="0" applyFont="1" applyFill="1" applyBorder="1">
      <alignment vertical="center"/>
    </xf>
    <xf numFmtId="0" fontId="5" fillId="10" borderId="12" xfId="0" applyFont="1" applyFill="1" applyBorder="1">
      <alignment vertical="center"/>
    </xf>
    <xf numFmtId="0" fontId="5" fillId="10" borderId="9" xfId="0" applyFont="1" applyFill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9" borderId="0" xfId="0" applyFill="1">
      <alignment vertical="center"/>
    </xf>
    <xf numFmtId="0" fontId="15" fillId="7" borderId="15" xfId="0" applyFont="1" applyFill="1" applyBorder="1">
      <alignment vertical="center"/>
    </xf>
    <xf numFmtId="0" fontId="0" fillId="7" borderId="17" xfId="0" applyFill="1" applyBorder="1">
      <alignment vertical="center"/>
    </xf>
    <xf numFmtId="0" fontId="0" fillId="7" borderId="16" xfId="0" applyFill="1" applyBorder="1">
      <alignment vertical="center"/>
    </xf>
    <xf numFmtId="38" fontId="6" fillId="11" borderId="3" xfId="0" applyNumberFormat="1" applyFont="1" applyFill="1" applyBorder="1" applyAlignment="1">
      <alignment horizontal="center"/>
    </xf>
    <xf numFmtId="178" fontId="6" fillId="11" borderId="3" xfId="0" applyNumberFormat="1" applyFont="1" applyFill="1" applyBorder="1" applyAlignment="1">
      <alignment horizontal="center"/>
    </xf>
    <xf numFmtId="0" fontId="6" fillId="11" borderId="3" xfId="0" applyFont="1" applyFill="1" applyBorder="1" applyAlignment="1">
      <alignment horizontal="center"/>
    </xf>
    <xf numFmtId="177" fontId="6" fillId="11" borderId="3" xfId="0" applyNumberFormat="1" applyFont="1" applyFill="1" applyBorder="1" applyAlignment="1">
      <alignment horizontal="center"/>
    </xf>
    <xf numFmtId="177" fontId="0" fillId="11" borderId="1" xfId="0" applyNumberFormat="1" applyFill="1" applyBorder="1" applyAlignment="1">
      <alignment horizontal="center" vertical="center"/>
    </xf>
    <xf numFmtId="2" fontId="6" fillId="11" borderId="3" xfId="0" applyNumberFormat="1" applyFont="1" applyFill="1" applyBorder="1" applyAlignment="1">
      <alignment horizontal="center"/>
    </xf>
    <xf numFmtId="179" fontId="17" fillId="0" borderId="0" xfId="0" applyNumberFormat="1" applyFont="1">
      <alignment vertical="center"/>
    </xf>
    <xf numFmtId="0" fontId="17" fillId="0" borderId="0" xfId="0" applyFont="1">
      <alignment vertical="center"/>
    </xf>
    <xf numFmtId="0" fontId="18" fillId="12" borderId="2" xfId="0" applyFont="1" applyFill="1" applyBorder="1">
      <alignment vertical="center"/>
    </xf>
    <xf numFmtId="0" fontId="5" fillId="5" borderId="4" xfId="0" applyFont="1" applyFill="1" applyBorder="1">
      <alignment vertical="center"/>
    </xf>
    <xf numFmtId="176" fontId="3" fillId="4" borderId="0" xfId="0" applyNumberFormat="1" applyFont="1" applyFill="1" applyAlignment="1">
      <alignment horizontal="right"/>
    </xf>
    <xf numFmtId="0" fontId="0" fillId="8" borderId="0" xfId="0" applyFill="1">
      <alignment vertical="center"/>
    </xf>
    <xf numFmtId="0" fontId="9" fillId="7" borderId="18" xfId="0" applyFont="1" applyFill="1" applyBorder="1" applyAlignment="1">
      <alignment horizontal="left" vertical="center"/>
    </xf>
    <xf numFmtId="0" fontId="10" fillId="7" borderId="8" xfId="0" applyFont="1" applyFill="1" applyBorder="1">
      <alignment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8" xfId="0" applyFont="1" applyFill="1" applyBorder="1">
      <alignment vertical="center"/>
    </xf>
    <xf numFmtId="0" fontId="0" fillId="6" borderId="5" xfId="0" quotePrefix="1" applyFill="1" applyBorder="1">
      <alignment vertical="center"/>
    </xf>
    <xf numFmtId="0" fontId="0" fillId="0" borderId="0" xfId="0" applyAlignment="1">
      <alignment horizontal="righ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600"/>
              <a:t>Cycle Time (s) | X Control Chart</a:t>
            </a:r>
            <a:endParaRPr lang="ja-JP" alt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643720615418596"/>
          <c:y val="0.22389850057670127"/>
          <c:w val="0.86990014429642915"/>
          <c:h val="0.6059595491740003"/>
        </c:manualLayout>
      </c:layout>
      <c:lineChart>
        <c:grouping val="standard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CT(s)</c:v>
                </c:pt>
              </c:strCache>
            </c:strRef>
          </c:tx>
          <c:marker>
            <c:symbol val="none"/>
          </c:marker>
          <c:cat>
            <c:numRef>
              <c:f>Sheet1!$B$3:$B$102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Sheet1!$D$3:$D$101</c:f>
              <c:numCache>
                <c:formatCode>0.0_);[Red]\(0.0\)</c:formatCode>
                <c:ptCount val="99"/>
                <c:pt idx="0">
                  <c:v>1.3333333333333333</c:v>
                </c:pt>
                <c:pt idx="1">
                  <c:v>2.333333333333333</c:v>
                </c:pt>
                <c:pt idx="2">
                  <c:v>1.6666666666666665</c:v>
                </c:pt>
                <c:pt idx="3">
                  <c:v>1.8333333333333339</c:v>
                </c:pt>
                <c:pt idx="4">
                  <c:v>1.9999999999999991</c:v>
                </c:pt>
                <c:pt idx="5">
                  <c:v>2.8333333333333339</c:v>
                </c:pt>
                <c:pt idx="6">
                  <c:v>2.5</c:v>
                </c:pt>
                <c:pt idx="7">
                  <c:v>3.1666666666666679</c:v>
                </c:pt>
                <c:pt idx="8">
                  <c:v>2.8333333333333321</c:v>
                </c:pt>
                <c:pt idx="9">
                  <c:v>1.1666666666666679</c:v>
                </c:pt>
                <c:pt idx="10">
                  <c:v>2.5</c:v>
                </c:pt>
                <c:pt idx="11">
                  <c:v>3.8333333333333321</c:v>
                </c:pt>
                <c:pt idx="12">
                  <c:v>1.6666666666666679</c:v>
                </c:pt>
                <c:pt idx="13">
                  <c:v>2.1666666666666643</c:v>
                </c:pt>
                <c:pt idx="14">
                  <c:v>2.0000000000000036</c:v>
                </c:pt>
                <c:pt idx="15">
                  <c:v>2</c:v>
                </c:pt>
                <c:pt idx="16">
                  <c:v>2.5</c:v>
                </c:pt>
                <c:pt idx="17">
                  <c:v>2.3333333333333286</c:v>
                </c:pt>
                <c:pt idx="18">
                  <c:v>1.6666666666666714</c:v>
                </c:pt>
                <c:pt idx="19">
                  <c:v>2.3333333333333286</c:v>
                </c:pt>
                <c:pt idx="20">
                  <c:v>1.8333333333333357</c:v>
                </c:pt>
                <c:pt idx="21">
                  <c:v>2</c:v>
                </c:pt>
                <c:pt idx="22">
                  <c:v>1.5</c:v>
                </c:pt>
                <c:pt idx="23">
                  <c:v>2</c:v>
                </c:pt>
                <c:pt idx="24">
                  <c:v>2</c:v>
                </c:pt>
                <c:pt idx="25">
                  <c:v>2.1666666666666643</c:v>
                </c:pt>
                <c:pt idx="26">
                  <c:v>1.8333333333333357</c:v>
                </c:pt>
                <c:pt idx="27">
                  <c:v>1.8333333333333357</c:v>
                </c:pt>
                <c:pt idx="28">
                  <c:v>2.1666666666666643</c:v>
                </c:pt>
                <c:pt idx="29">
                  <c:v>2.1666666666666714</c:v>
                </c:pt>
                <c:pt idx="30">
                  <c:v>2.6666666666666572</c:v>
                </c:pt>
                <c:pt idx="31">
                  <c:v>2.5</c:v>
                </c:pt>
                <c:pt idx="32">
                  <c:v>2.6666666666666714</c:v>
                </c:pt>
                <c:pt idx="33">
                  <c:v>2.5</c:v>
                </c:pt>
                <c:pt idx="34">
                  <c:v>2.6666666666666714</c:v>
                </c:pt>
                <c:pt idx="35">
                  <c:v>2.1666666666666572</c:v>
                </c:pt>
                <c:pt idx="36">
                  <c:v>2</c:v>
                </c:pt>
                <c:pt idx="37">
                  <c:v>2.3333333333333428</c:v>
                </c:pt>
                <c:pt idx="38">
                  <c:v>2.5</c:v>
                </c:pt>
                <c:pt idx="39">
                  <c:v>2.3333333333333286</c:v>
                </c:pt>
                <c:pt idx="40">
                  <c:v>2</c:v>
                </c:pt>
                <c:pt idx="41">
                  <c:v>2.3333333333333286</c:v>
                </c:pt>
                <c:pt idx="42">
                  <c:v>2.1666666666666714</c:v>
                </c:pt>
                <c:pt idx="43">
                  <c:v>2.3333333333333286</c:v>
                </c:pt>
                <c:pt idx="44">
                  <c:v>2.1666666666666714</c:v>
                </c:pt>
                <c:pt idx="45">
                  <c:v>2.3333333333333286</c:v>
                </c:pt>
                <c:pt idx="46">
                  <c:v>2.1666666666666714</c:v>
                </c:pt>
                <c:pt idx="47">
                  <c:v>2.1666666666666714</c:v>
                </c:pt>
                <c:pt idx="48">
                  <c:v>2.3333333333333286</c:v>
                </c:pt>
                <c:pt idx="49">
                  <c:v>2.1666666666666714</c:v>
                </c:pt>
                <c:pt idx="50">
                  <c:v>1.8333333333333286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70E1-4C3B-9ACE-FFB6D97091E0}"/>
            </c:ext>
          </c:extLst>
        </c:ser>
        <c:ser>
          <c:idx val="1"/>
          <c:order val="1"/>
          <c:tx>
            <c:strRef>
              <c:f>Sheet1!$AA$2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cat>
            <c:numRef>
              <c:f>Sheet1!$B$3:$B$102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Sheet1!$AA$3:$AA$102</c:f>
              <c:numCache>
                <c:formatCode>0.00_);[Red]\(0.00\)</c:formatCode>
                <c:ptCount val="100"/>
                <c:pt idx="0">
                  <c:v>2.2058823529411762</c:v>
                </c:pt>
                <c:pt idx="1">
                  <c:v>2.2058823529411762</c:v>
                </c:pt>
                <c:pt idx="2">
                  <c:v>2.2058823529411762</c:v>
                </c:pt>
                <c:pt idx="3">
                  <c:v>2.2058823529411762</c:v>
                </c:pt>
                <c:pt idx="4">
                  <c:v>2.2058823529411762</c:v>
                </c:pt>
                <c:pt idx="5">
                  <c:v>2.2058823529411762</c:v>
                </c:pt>
                <c:pt idx="6">
                  <c:v>2.2058823529411762</c:v>
                </c:pt>
                <c:pt idx="7">
                  <c:v>2.2058823529411762</c:v>
                </c:pt>
                <c:pt idx="8">
                  <c:v>2.2058823529411762</c:v>
                </c:pt>
                <c:pt idx="9">
                  <c:v>2.2058823529411762</c:v>
                </c:pt>
                <c:pt idx="10">
                  <c:v>2.2058823529411762</c:v>
                </c:pt>
                <c:pt idx="11">
                  <c:v>2.2058823529411762</c:v>
                </c:pt>
                <c:pt idx="12">
                  <c:v>2.2058823529411762</c:v>
                </c:pt>
                <c:pt idx="13">
                  <c:v>2.2058823529411762</c:v>
                </c:pt>
                <c:pt idx="14">
                  <c:v>2.2058823529411762</c:v>
                </c:pt>
                <c:pt idx="15">
                  <c:v>2.2058823529411762</c:v>
                </c:pt>
                <c:pt idx="16">
                  <c:v>2.2058823529411762</c:v>
                </c:pt>
                <c:pt idx="17">
                  <c:v>2.2058823529411762</c:v>
                </c:pt>
                <c:pt idx="18">
                  <c:v>2.2058823529411762</c:v>
                </c:pt>
                <c:pt idx="19">
                  <c:v>2.2058823529411762</c:v>
                </c:pt>
                <c:pt idx="20">
                  <c:v>2.2058823529411762</c:v>
                </c:pt>
                <c:pt idx="21">
                  <c:v>2.2058823529411762</c:v>
                </c:pt>
                <c:pt idx="22">
                  <c:v>2.2058823529411762</c:v>
                </c:pt>
                <c:pt idx="23">
                  <c:v>2.2058823529411762</c:v>
                </c:pt>
                <c:pt idx="24">
                  <c:v>2.2058823529411762</c:v>
                </c:pt>
                <c:pt idx="25">
                  <c:v>2.2058823529411762</c:v>
                </c:pt>
                <c:pt idx="26">
                  <c:v>2.2058823529411762</c:v>
                </c:pt>
                <c:pt idx="27">
                  <c:v>2.2058823529411762</c:v>
                </c:pt>
                <c:pt idx="28">
                  <c:v>2.2058823529411762</c:v>
                </c:pt>
                <c:pt idx="29">
                  <c:v>2.2058823529411762</c:v>
                </c:pt>
                <c:pt idx="30">
                  <c:v>2.2058823529411762</c:v>
                </c:pt>
                <c:pt idx="31">
                  <c:v>2.2058823529411762</c:v>
                </c:pt>
                <c:pt idx="32">
                  <c:v>2.2058823529411762</c:v>
                </c:pt>
                <c:pt idx="33">
                  <c:v>2.2058823529411762</c:v>
                </c:pt>
                <c:pt idx="34">
                  <c:v>2.2058823529411762</c:v>
                </c:pt>
                <c:pt idx="35">
                  <c:v>2.2058823529411762</c:v>
                </c:pt>
                <c:pt idx="36">
                  <c:v>2.2058823529411762</c:v>
                </c:pt>
                <c:pt idx="37">
                  <c:v>2.2058823529411762</c:v>
                </c:pt>
                <c:pt idx="38">
                  <c:v>2.2058823529411762</c:v>
                </c:pt>
                <c:pt idx="39">
                  <c:v>2.2058823529411762</c:v>
                </c:pt>
                <c:pt idx="40">
                  <c:v>2.2058823529411762</c:v>
                </c:pt>
                <c:pt idx="41">
                  <c:v>2.2058823529411762</c:v>
                </c:pt>
                <c:pt idx="42">
                  <c:v>2.2058823529411762</c:v>
                </c:pt>
                <c:pt idx="43">
                  <c:v>2.2058823529411762</c:v>
                </c:pt>
                <c:pt idx="44">
                  <c:v>2.2058823529411762</c:v>
                </c:pt>
                <c:pt idx="45">
                  <c:v>2.2058823529411762</c:v>
                </c:pt>
                <c:pt idx="46">
                  <c:v>2.2058823529411762</c:v>
                </c:pt>
                <c:pt idx="47">
                  <c:v>2.2058823529411762</c:v>
                </c:pt>
                <c:pt idx="48">
                  <c:v>2.2058823529411762</c:v>
                </c:pt>
                <c:pt idx="49">
                  <c:v>2.2058823529411762</c:v>
                </c:pt>
                <c:pt idx="50">
                  <c:v>2.2058823529411762</c:v>
                </c:pt>
                <c:pt idx="51">
                  <c:v>2.2058823529411762</c:v>
                </c:pt>
                <c:pt idx="52">
                  <c:v>2.2058823529411762</c:v>
                </c:pt>
                <c:pt idx="53">
                  <c:v>2.2058823529411762</c:v>
                </c:pt>
                <c:pt idx="54">
                  <c:v>2.2058823529411762</c:v>
                </c:pt>
                <c:pt idx="55">
                  <c:v>2.2058823529411762</c:v>
                </c:pt>
                <c:pt idx="56">
                  <c:v>2.2058823529411762</c:v>
                </c:pt>
                <c:pt idx="57">
                  <c:v>2.2058823529411762</c:v>
                </c:pt>
                <c:pt idx="58">
                  <c:v>2.2058823529411762</c:v>
                </c:pt>
                <c:pt idx="59">
                  <c:v>2.2058823529411762</c:v>
                </c:pt>
                <c:pt idx="60">
                  <c:v>2.2058823529411762</c:v>
                </c:pt>
                <c:pt idx="61">
                  <c:v>2.2058823529411762</c:v>
                </c:pt>
                <c:pt idx="62">
                  <c:v>2.2058823529411762</c:v>
                </c:pt>
                <c:pt idx="63">
                  <c:v>2.2058823529411762</c:v>
                </c:pt>
                <c:pt idx="64">
                  <c:v>2.2058823529411762</c:v>
                </c:pt>
                <c:pt idx="65">
                  <c:v>2.2058823529411762</c:v>
                </c:pt>
                <c:pt idx="66">
                  <c:v>2.2058823529411762</c:v>
                </c:pt>
                <c:pt idx="67">
                  <c:v>2.2058823529411762</c:v>
                </c:pt>
                <c:pt idx="68">
                  <c:v>2.2058823529411762</c:v>
                </c:pt>
                <c:pt idx="69">
                  <c:v>2.2058823529411762</c:v>
                </c:pt>
                <c:pt idx="70">
                  <c:v>2.2058823529411762</c:v>
                </c:pt>
                <c:pt idx="71">
                  <c:v>2.2058823529411762</c:v>
                </c:pt>
                <c:pt idx="72">
                  <c:v>2.2058823529411762</c:v>
                </c:pt>
                <c:pt idx="73">
                  <c:v>2.2058823529411762</c:v>
                </c:pt>
                <c:pt idx="74">
                  <c:v>2.2058823529411762</c:v>
                </c:pt>
                <c:pt idx="75">
                  <c:v>2.2058823529411762</c:v>
                </c:pt>
                <c:pt idx="76">
                  <c:v>2.2058823529411762</c:v>
                </c:pt>
                <c:pt idx="77">
                  <c:v>2.2058823529411762</c:v>
                </c:pt>
                <c:pt idx="78">
                  <c:v>2.2058823529411762</c:v>
                </c:pt>
                <c:pt idx="79">
                  <c:v>2.2058823529411762</c:v>
                </c:pt>
                <c:pt idx="80">
                  <c:v>2.2058823529411762</c:v>
                </c:pt>
                <c:pt idx="81">
                  <c:v>2.2058823529411762</c:v>
                </c:pt>
                <c:pt idx="82">
                  <c:v>2.2058823529411762</c:v>
                </c:pt>
                <c:pt idx="83">
                  <c:v>2.2058823529411762</c:v>
                </c:pt>
                <c:pt idx="84">
                  <c:v>2.2058823529411762</c:v>
                </c:pt>
                <c:pt idx="85">
                  <c:v>2.2058823529411762</c:v>
                </c:pt>
                <c:pt idx="86">
                  <c:v>2.2058823529411762</c:v>
                </c:pt>
                <c:pt idx="87">
                  <c:v>2.2058823529411762</c:v>
                </c:pt>
                <c:pt idx="88">
                  <c:v>2.2058823529411762</c:v>
                </c:pt>
                <c:pt idx="89">
                  <c:v>2.2058823529411762</c:v>
                </c:pt>
                <c:pt idx="90">
                  <c:v>2.2058823529411762</c:v>
                </c:pt>
                <c:pt idx="91">
                  <c:v>2.2058823529411762</c:v>
                </c:pt>
                <c:pt idx="92">
                  <c:v>2.2058823529411762</c:v>
                </c:pt>
                <c:pt idx="93">
                  <c:v>2.2058823529411762</c:v>
                </c:pt>
                <c:pt idx="94">
                  <c:v>2.2058823529411762</c:v>
                </c:pt>
                <c:pt idx="95">
                  <c:v>2.2058823529411762</c:v>
                </c:pt>
                <c:pt idx="96">
                  <c:v>2.2058823529411762</c:v>
                </c:pt>
                <c:pt idx="97">
                  <c:v>2.2058823529411762</c:v>
                </c:pt>
                <c:pt idx="98">
                  <c:v>2.2058823529411762</c:v>
                </c:pt>
                <c:pt idx="99">
                  <c:v>2.2058823529411762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70E1-4C3B-9ACE-FFB6D97091E0}"/>
            </c:ext>
          </c:extLst>
        </c:ser>
        <c:ser>
          <c:idx val="2"/>
          <c:order val="2"/>
          <c:tx>
            <c:strRef>
              <c:f>Sheet1!$AB$2</c:f>
              <c:strCache>
                <c:ptCount val="1"/>
                <c:pt idx="0">
                  <c:v>Median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val>
            <c:numRef>
              <c:f>Sheet1!$AB$3:$AB$102</c:f>
              <c:numCache>
                <c:formatCode>0.00_);[Red]\(0.00\)</c:formatCode>
                <c:ptCount val="100"/>
                <c:pt idx="0">
                  <c:v>2.1666666666666714</c:v>
                </c:pt>
                <c:pt idx="1">
                  <c:v>2.1666666666666714</c:v>
                </c:pt>
                <c:pt idx="2">
                  <c:v>2.1666666666666714</c:v>
                </c:pt>
                <c:pt idx="3">
                  <c:v>2.1666666666666714</c:v>
                </c:pt>
                <c:pt idx="4">
                  <c:v>2.1666666666666714</c:v>
                </c:pt>
                <c:pt idx="5">
                  <c:v>2.1666666666666714</c:v>
                </c:pt>
                <c:pt idx="6">
                  <c:v>2.1666666666666714</c:v>
                </c:pt>
                <c:pt idx="7">
                  <c:v>2.1666666666666714</c:v>
                </c:pt>
                <c:pt idx="8">
                  <c:v>2.1666666666666714</c:v>
                </c:pt>
                <c:pt idx="9">
                  <c:v>2.1666666666666714</c:v>
                </c:pt>
                <c:pt idx="10">
                  <c:v>2.1666666666666714</c:v>
                </c:pt>
                <c:pt idx="11">
                  <c:v>2.1666666666666714</c:v>
                </c:pt>
                <c:pt idx="12">
                  <c:v>2.1666666666666714</c:v>
                </c:pt>
                <c:pt idx="13">
                  <c:v>2.1666666666666714</c:v>
                </c:pt>
                <c:pt idx="14">
                  <c:v>2.1666666666666714</c:v>
                </c:pt>
                <c:pt idx="15">
                  <c:v>2.1666666666666714</c:v>
                </c:pt>
                <c:pt idx="16">
                  <c:v>2.1666666666666714</c:v>
                </c:pt>
                <c:pt idx="17">
                  <c:v>2.1666666666666714</c:v>
                </c:pt>
                <c:pt idx="18">
                  <c:v>2.1666666666666714</c:v>
                </c:pt>
                <c:pt idx="19">
                  <c:v>2.1666666666666714</c:v>
                </c:pt>
                <c:pt idx="20">
                  <c:v>2.1666666666666714</c:v>
                </c:pt>
                <c:pt idx="21">
                  <c:v>2.1666666666666714</c:v>
                </c:pt>
                <c:pt idx="22">
                  <c:v>2.1666666666666714</c:v>
                </c:pt>
                <c:pt idx="23">
                  <c:v>2.1666666666666714</c:v>
                </c:pt>
                <c:pt idx="24">
                  <c:v>2.1666666666666714</c:v>
                </c:pt>
                <c:pt idx="25">
                  <c:v>2.1666666666666714</c:v>
                </c:pt>
                <c:pt idx="26">
                  <c:v>2.1666666666666714</c:v>
                </c:pt>
                <c:pt idx="27">
                  <c:v>2.1666666666666714</c:v>
                </c:pt>
                <c:pt idx="28">
                  <c:v>2.1666666666666714</c:v>
                </c:pt>
                <c:pt idx="29">
                  <c:v>2.1666666666666714</c:v>
                </c:pt>
                <c:pt idx="30">
                  <c:v>2.1666666666666714</c:v>
                </c:pt>
                <c:pt idx="31">
                  <c:v>2.1666666666666714</c:v>
                </c:pt>
                <c:pt idx="32">
                  <c:v>2.1666666666666714</c:v>
                </c:pt>
                <c:pt idx="33">
                  <c:v>2.1666666666666714</c:v>
                </c:pt>
                <c:pt idx="34">
                  <c:v>2.1666666666666714</c:v>
                </c:pt>
                <c:pt idx="35">
                  <c:v>2.1666666666666714</c:v>
                </c:pt>
                <c:pt idx="36">
                  <c:v>2.1666666666666714</c:v>
                </c:pt>
                <c:pt idx="37">
                  <c:v>2.1666666666666714</c:v>
                </c:pt>
                <c:pt idx="38">
                  <c:v>2.1666666666666714</c:v>
                </c:pt>
                <c:pt idx="39">
                  <c:v>2.1666666666666714</c:v>
                </c:pt>
                <c:pt idx="40">
                  <c:v>2.1666666666666714</c:v>
                </c:pt>
                <c:pt idx="41">
                  <c:v>2.1666666666666714</c:v>
                </c:pt>
                <c:pt idx="42">
                  <c:v>2.1666666666666714</c:v>
                </c:pt>
                <c:pt idx="43">
                  <c:v>2.1666666666666714</c:v>
                </c:pt>
                <c:pt idx="44">
                  <c:v>2.1666666666666714</c:v>
                </c:pt>
                <c:pt idx="45">
                  <c:v>2.1666666666666714</c:v>
                </c:pt>
                <c:pt idx="46">
                  <c:v>2.1666666666666714</c:v>
                </c:pt>
                <c:pt idx="47">
                  <c:v>2.1666666666666714</c:v>
                </c:pt>
                <c:pt idx="48">
                  <c:v>2.1666666666666714</c:v>
                </c:pt>
                <c:pt idx="49">
                  <c:v>2.1666666666666714</c:v>
                </c:pt>
                <c:pt idx="50">
                  <c:v>2.1666666666666714</c:v>
                </c:pt>
                <c:pt idx="51">
                  <c:v>2.1666666666666714</c:v>
                </c:pt>
                <c:pt idx="52">
                  <c:v>2.1666666666666714</c:v>
                </c:pt>
                <c:pt idx="53">
                  <c:v>2.1666666666666714</c:v>
                </c:pt>
                <c:pt idx="54">
                  <c:v>2.1666666666666714</c:v>
                </c:pt>
                <c:pt idx="55">
                  <c:v>2.1666666666666714</c:v>
                </c:pt>
                <c:pt idx="56">
                  <c:v>2.1666666666666714</c:v>
                </c:pt>
                <c:pt idx="57">
                  <c:v>2.1666666666666714</c:v>
                </c:pt>
                <c:pt idx="58">
                  <c:v>2.1666666666666714</c:v>
                </c:pt>
                <c:pt idx="59">
                  <c:v>2.1666666666666714</c:v>
                </c:pt>
                <c:pt idx="60">
                  <c:v>2.1666666666666714</c:v>
                </c:pt>
                <c:pt idx="61">
                  <c:v>2.1666666666666714</c:v>
                </c:pt>
                <c:pt idx="62">
                  <c:v>2.1666666666666714</c:v>
                </c:pt>
                <c:pt idx="63">
                  <c:v>2.1666666666666714</c:v>
                </c:pt>
                <c:pt idx="64">
                  <c:v>2.1666666666666714</c:v>
                </c:pt>
                <c:pt idx="65">
                  <c:v>2.1666666666666714</c:v>
                </c:pt>
                <c:pt idx="66">
                  <c:v>2.1666666666666714</c:v>
                </c:pt>
                <c:pt idx="67">
                  <c:v>2.1666666666666714</c:v>
                </c:pt>
                <c:pt idx="68">
                  <c:v>2.1666666666666714</c:v>
                </c:pt>
                <c:pt idx="69">
                  <c:v>2.1666666666666714</c:v>
                </c:pt>
                <c:pt idx="70">
                  <c:v>2.1666666666666714</c:v>
                </c:pt>
                <c:pt idx="71">
                  <c:v>2.1666666666666714</c:v>
                </c:pt>
                <c:pt idx="72">
                  <c:v>2.1666666666666714</c:v>
                </c:pt>
                <c:pt idx="73">
                  <c:v>2.1666666666666714</c:v>
                </c:pt>
                <c:pt idx="74">
                  <c:v>2.1666666666666714</c:v>
                </c:pt>
                <c:pt idx="75">
                  <c:v>2.1666666666666714</c:v>
                </c:pt>
                <c:pt idx="76">
                  <c:v>2.1666666666666714</c:v>
                </c:pt>
                <c:pt idx="77">
                  <c:v>2.1666666666666714</c:v>
                </c:pt>
                <c:pt idx="78">
                  <c:v>2.1666666666666714</c:v>
                </c:pt>
                <c:pt idx="79">
                  <c:v>2.1666666666666714</c:v>
                </c:pt>
                <c:pt idx="80">
                  <c:v>2.1666666666666714</c:v>
                </c:pt>
                <c:pt idx="81">
                  <c:v>2.1666666666666714</c:v>
                </c:pt>
                <c:pt idx="82">
                  <c:v>2.1666666666666714</c:v>
                </c:pt>
                <c:pt idx="83">
                  <c:v>2.1666666666666714</c:v>
                </c:pt>
                <c:pt idx="84">
                  <c:v>2.1666666666666714</c:v>
                </c:pt>
                <c:pt idx="85">
                  <c:v>2.1666666666666714</c:v>
                </c:pt>
                <c:pt idx="86">
                  <c:v>2.1666666666666714</c:v>
                </c:pt>
                <c:pt idx="87">
                  <c:v>2.1666666666666714</c:v>
                </c:pt>
                <c:pt idx="88">
                  <c:v>2.1666666666666714</c:v>
                </c:pt>
                <c:pt idx="89">
                  <c:v>2.1666666666666714</c:v>
                </c:pt>
                <c:pt idx="90">
                  <c:v>2.1666666666666714</c:v>
                </c:pt>
                <c:pt idx="91">
                  <c:v>2.1666666666666714</c:v>
                </c:pt>
                <c:pt idx="92">
                  <c:v>2.1666666666666714</c:v>
                </c:pt>
                <c:pt idx="93">
                  <c:v>2.1666666666666714</c:v>
                </c:pt>
                <c:pt idx="94">
                  <c:v>2.1666666666666714</c:v>
                </c:pt>
                <c:pt idx="95">
                  <c:v>2.1666666666666714</c:v>
                </c:pt>
                <c:pt idx="96">
                  <c:v>2.1666666666666714</c:v>
                </c:pt>
                <c:pt idx="97">
                  <c:v>2.1666666666666714</c:v>
                </c:pt>
                <c:pt idx="98">
                  <c:v>2.1666666666666714</c:v>
                </c:pt>
                <c:pt idx="99">
                  <c:v>2.1666666666666714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70E1-4C3B-9ACE-FFB6D97091E0}"/>
            </c:ext>
          </c:extLst>
        </c:ser>
        <c:ser>
          <c:idx val="3"/>
          <c:order val="3"/>
          <c:tx>
            <c:strRef>
              <c:f>Sheet1!$AC$2</c:f>
              <c:strCache>
                <c:ptCount val="1"/>
                <c:pt idx="0">
                  <c:v>-1SD</c:v>
                </c:pt>
              </c:strCache>
            </c:strRef>
          </c:tx>
          <c:spPr>
            <a:ln w="3175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Sheet1!$AC$3:$AC$102</c:f>
              <c:numCache>
                <c:formatCode>0.00_);[Red]\(0.00\)</c:formatCode>
                <c:ptCount val="100"/>
                <c:pt idx="0">
                  <c:v>1.7604259885809614</c:v>
                </c:pt>
                <c:pt idx="1">
                  <c:v>1.7604259885809614</c:v>
                </c:pt>
                <c:pt idx="2">
                  <c:v>1.7604259885809614</c:v>
                </c:pt>
                <c:pt idx="3">
                  <c:v>1.7604259885809614</c:v>
                </c:pt>
                <c:pt idx="4">
                  <c:v>1.7604259885809614</c:v>
                </c:pt>
                <c:pt idx="5">
                  <c:v>1.7604259885809614</c:v>
                </c:pt>
                <c:pt idx="6">
                  <c:v>1.7604259885809614</c:v>
                </c:pt>
                <c:pt idx="7">
                  <c:v>1.7604259885809614</c:v>
                </c:pt>
                <c:pt idx="8">
                  <c:v>1.7604259885809614</c:v>
                </c:pt>
                <c:pt idx="9">
                  <c:v>1.7604259885809614</c:v>
                </c:pt>
                <c:pt idx="10">
                  <c:v>1.7604259885809614</c:v>
                </c:pt>
                <c:pt idx="11">
                  <c:v>1.7604259885809614</c:v>
                </c:pt>
                <c:pt idx="12">
                  <c:v>1.7604259885809614</c:v>
                </c:pt>
                <c:pt idx="13">
                  <c:v>1.7604259885809614</c:v>
                </c:pt>
                <c:pt idx="14">
                  <c:v>1.7604259885809614</c:v>
                </c:pt>
                <c:pt idx="15">
                  <c:v>1.7604259885809614</c:v>
                </c:pt>
                <c:pt idx="16">
                  <c:v>1.7604259885809614</c:v>
                </c:pt>
                <c:pt idx="17">
                  <c:v>1.7604259885809614</c:v>
                </c:pt>
                <c:pt idx="18">
                  <c:v>1.7604259885809614</c:v>
                </c:pt>
                <c:pt idx="19">
                  <c:v>1.7604259885809614</c:v>
                </c:pt>
                <c:pt idx="20">
                  <c:v>1.7604259885809614</c:v>
                </c:pt>
                <c:pt idx="21">
                  <c:v>1.7604259885809614</c:v>
                </c:pt>
                <c:pt idx="22">
                  <c:v>1.7604259885809614</c:v>
                </c:pt>
                <c:pt idx="23">
                  <c:v>1.7604259885809614</c:v>
                </c:pt>
                <c:pt idx="24">
                  <c:v>1.7604259885809614</c:v>
                </c:pt>
                <c:pt idx="25">
                  <c:v>1.7604259885809614</c:v>
                </c:pt>
                <c:pt idx="26">
                  <c:v>1.7604259885809614</c:v>
                </c:pt>
                <c:pt idx="27">
                  <c:v>1.7604259885809614</c:v>
                </c:pt>
                <c:pt idx="28">
                  <c:v>1.7604259885809614</c:v>
                </c:pt>
                <c:pt idx="29">
                  <c:v>1.7604259885809614</c:v>
                </c:pt>
                <c:pt idx="30">
                  <c:v>1.7604259885809614</c:v>
                </c:pt>
                <c:pt idx="31">
                  <c:v>1.7604259885809614</c:v>
                </c:pt>
                <c:pt idx="32">
                  <c:v>1.7604259885809614</c:v>
                </c:pt>
                <c:pt idx="33">
                  <c:v>1.7604259885809614</c:v>
                </c:pt>
                <c:pt idx="34">
                  <c:v>1.7604259885809614</c:v>
                </c:pt>
                <c:pt idx="35">
                  <c:v>1.7604259885809614</c:v>
                </c:pt>
                <c:pt idx="36">
                  <c:v>1.7604259885809614</c:v>
                </c:pt>
                <c:pt idx="37">
                  <c:v>1.7604259885809614</c:v>
                </c:pt>
                <c:pt idx="38">
                  <c:v>1.7604259885809614</c:v>
                </c:pt>
                <c:pt idx="39">
                  <c:v>1.7604259885809614</c:v>
                </c:pt>
                <c:pt idx="40">
                  <c:v>1.7604259885809614</c:v>
                </c:pt>
                <c:pt idx="41">
                  <c:v>1.7604259885809614</c:v>
                </c:pt>
                <c:pt idx="42">
                  <c:v>1.7604259885809614</c:v>
                </c:pt>
                <c:pt idx="43">
                  <c:v>1.7604259885809614</c:v>
                </c:pt>
                <c:pt idx="44">
                  <c:v>1.7604259885809614</c:v>
                </c:pt>
                <c:pt idx="45">
                  <c:v>1.7604259885809614</c:v>
                </c:pt>
                <c:pt idx="46">
                  <c:v>1.7604259885809614</c:v>
                </c:pt>
                <c:pt idx="47">
                  <c:v>1.7604259885809614</c:v>
                </c:pt>
                <c:pt idx="48">
                  <c:v>1.7604259885809614</c:v>
                </c:pt>
                <c:pt idx="49">
                  <c:v>1.7604259885809614</c:v>
                </c:pt>
                <c:pt idx="50">
                  <c:v>1.7604259885809614</c:v>
                </c:pt>
                <c:pt idx="51">
                  <c:v>1.7604259885809614</c:v>
                </c:pt>
                <c:pt idx="52">
                  <c:v>1.7604259885809614</c:v>
                </c:pt>
                <c:pt idx="53">
                  <c:v>1.7604259885809614</c:v>
                </c:pt>
                <c:pt idx="54">
                  <c:v>1.7604259885809614</c:v>
                </c:pt>
                <c:pt idx="55">
                  <c:v>1.7604259885809614</c:v>
                </c:pt>
                <c:pt idx="56">
                  <c:v>1.7604259885809614</c:v>
                </c:pt>
                <c:pt idx="57">
                  <c:v>1.7604259885809614</c:v>
                </c:pt>
                <c:pt idx="58">
                  <c:v>1.7604259885809614</c:v>
                </c:pt>
                <c:pt idx="59">
                  <c:v>1.7604259885809614</c:v>
                </c:pt>
                <c:pt idx="60">
                  <c:v>1.7604259885809614</c:v>
                </c:pt>
                <c:pt idx="61">
                  <c:v>1.7604259885809614</c:v>
                </c:pt>
                <c:pt idx="62">
                  <c:v>1.7604259885809614</c:v>
                </c:pt>
                <c:pt idx="63">
                  <c:v>1.7604259885809614</c:v>
                </c:pt>
                <c:pt idx="64">
                  <c:v>1.7604259885809614</c:v>
                </c:pt>
                <c:pt idx="65">
                  <c:v>1.7604259885809614</c:v>
                </c:pt>
                <c:pt idx="66">
                  <c:v>1.7604259885809614</c:v>
                </c:pt>
                <c:pt idx="67">
                  <c:v>1.7604259885809614</c:v>
                </c:pt>
                <c:pt idx="68">
                  <c:v>1.7604259885809614</c:v>
                </c:pt>
                <c:pt idx="69">
                  <c:v>1.7604259885809614</c:v>
                </c:pt>
                <c:pt idx="70">
                  <c:v>1.7604259885809614</c:v>
                </c:pt>
                <c:pt idx="71">
                  <c:v>1.7604259885809614</c:v>
                </c:pt>
                <c:pt idx="72">
                  <c:v>1.7604259885809614</c:v>
                </c:pt>
                <c:pt idx="73">
                  <c:v>1.7604259885809614</c:v>
                </c:pt>
                <c:pt idx="74">
                  <c:v>1.7604259885809614</c:v>
                </c:pt>
                <c:pt idx="75">
                  <c:v>1.7604259885809614</c:v>
                </c:pt>
                <c:pt idx="76">
                  <c:v>1.7604259885809614</c:v>
                </c:pt>
                <c:pt idx="77">
                  <c:v>1.7604259885809614</c:v>
                </c:pt>
                <c:pt idx="78">
                  <c:v>1.7604259885809614</c:v>
                </c:pt>
                <c:pt idx="79">
                  <c:v>1.7604259885809614</c:v>
                </c:pt>
                <c:pt idx="80">
                  <c:v>1.7604259885809614</c:v>
                </c:pt>
                <c:pt idx="81">
                  <c:v>1.7604259885809614</c:v>
                </c:pt>
                <c:pt idx="82">
                  <c:v>1.7604259885809614</c:v>
                </c:pt>
                <c:pt idx="83">
                  <c:v>1.7604259885809614</c:v>
                </c:pt>
                <c:pt idx="84">
                  <c:v>1.7604259885809614</c:v>
                </c:pt>
                <c:pt idx="85">
                  <c:v>1.7604259885809614</c:v>
                </c:pt>
                <c:pt idx="86">
                  <c:v>1.7604259885809614</c:v>
                </c:pt>
                <c:pt idx="87">
                  <c:v>1.7604259885809614</c:v>
                </c:pt>
                <c:pt idx="88">
                  <c:v>1.7604259885809614</c:v>
                </c:pt>
                <c:pt idx="89">
                  <c:v>1.7604259885809614</c:v>
                </c:pt>
                <c:pt idx="90">
                  <c:v>1.7604259885809614</c:v>
                </c:pt>
                <c:pt idx="91">
                  <c:v>1.7604259885809614</c:v>
                </c:pt>
                <c:pt idx="92">
                  <c:v>1.7604259885809614</c:v>
                </c:pt>
                <c:pt idx="93">
                  <c:v>1.7604259885809614</c:v>
                </c:pt>
                <c:pt idx="94">
                  <c:v>1.7604259885809614</c:v>
                </c:pt>
                <c:pt idx="95">
                  <c:v>1.7604259885809614</c:v>
                </c:pt>
                <c:pt idx="96">
                  <c:v>1.7604259885809614</c:v>
                </c:pt>
                <c:pt idx="97">
                  <c:v>1.7604259885809614</c:v>
                </c:pt>
                <c:pt idx="98">
                  <c:v>1.7604259885809614</c:v>
                </c:pt>
                <c:pt idx="99">
                  <c:v>1.7604259885809614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70E1-4C3B-9ACE-FFB6D97091E0}"/>
            </c:ext>
          </c:extLst>
        </c:ser>
        <c:ser>
          <c:idx val="5"/>
          <c:order val="4"/>
          <c:tx>
            <c:strRef>
              <c:f>Sheet1!$AD$2</c:f>
              <c:strCache>
                <c:ptCount val="1"/>
                <c:pt idx="0">
                  <c:v>+1SD</c:v>
                </c:pt>
              </c:strCache>
            </c:strRef>
          </c:tx>
          <c:spPr>
            <a:ln w="317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Sheet1!$AD$3:$AD$102</c:f>
              <c:numCache>
                <c:formatCode>0.00_);[Red]\(0.00\)</c:formatCode>
                <c:ptCount val="100"/>
                <c:pt idx="0">
                  <c:v>2.6513387173013911</c:v>
                </c:pt>
                <c:pt idx="1">
                  <c:v>2.6513387173013911</c:v>
                </c:pt>
                <c:pt idx="2">
                  <c:v>2.6513387173013911</c:v>
                </c:pt>
                <c:pt idx="3">
                  <c:v>2.6513387173013911</c:v>
                </c:pt>
                <c:pt idx="4">
                  <c:v>2.6513387173013911</c:v>
                </c:pt>
                <c:pt idx="5">
                  <c:v>2.6513387173013911</c:v>
                </c:pt>
                <c:pt idx="6">
                  <c:v>2.6513387173013911</c:v>
                </c:pt>
                <c:pt idx="7">
                  <c:v>2.6513387173013911</c:v>
                </c:pt>
                <c:pt idx="8">
                  <c:v>2.6513387173013911</c:v>
                </c:pt>
                <c:pt idx="9">
                  <c:v>2.6513387173013911</c:v>
                </c:pt>
                <c:pt idx="10">
                  <c:v>2.6513387173013911</c:v>
                </c:pt>
                <c:pt idx="11">
                  <c:v>2.6513387173013911</c:v>
                </c:pt>
                <c:pt idx="12">
                  <c:v>2.6513387173013911</c:v>
                </c:pt>
                <c:pt idx="13">
                  <c:v>2.6513387173013911</c:v>
                </c:pt>
                <c:pt idx="14">
                  <c:v>2.6513387173013911</c:v>
                </c:pt>
                <c:pt idx="15">
                  <c:v>2.6513387173013911</c:v>
                </c:pt>
                <c:pt idx="16">
                  <c:v>2.6513387173013911</c:v>
                </c:pt>
                <c:pt idx="17">
                  <c:v>2.6513387173013911</c:v>
                </c:pt>
                <c:pt idx="18">
                  <c:v>2.6513387173013911</c:v>
                </c:pt>
                <c:pt idx="19">
                  <c:v>2.6513387173013911</c:v>
                </c:pt>
                <c:pt idx="20">
                  <c:v>2.6513387173013911</c:v>
                </c:pt>
                <c:pt idx="21">
                  <c:v>2.6513387173013911</c:v>
                </c:pt>
                <c:pt idx="22">
                  <c:v>2.6513387173013911</c:v>
                </c:pt>
                <c:pt idx="23">
                  <c:v>2.6513387173013911</c:v>
                </c:pt>
                <c:pt idx="24">
                  <c:v>2.6513387173013911</c:v>
                </c:pt>
                <c:pt idx="25">
                  <c:v>2.6513387173013911</c:v>
                </c:pt>
                <c:pt idx="26">
                  <c:v>2.6513387173013911</c:v>
                </c:pt>
                <c:pt idx="27">
                  <c:v>2.6513387173013911</c:v>
                </c:pt>
                <c:pt idx="28">
                  <c:v>2.6513387173013911</c:v>
                </c:pt>
                <c:pt idx="29">
                  <c:v>2.6513387173013911</c:v>
                </c:pt>
                <c:pt idx="30">
                  <c:v>2.6513387173013911</c:v>
                </c:pt>
                <c:pt idx="31">
                  <c:v>2.6513387173013911</c:v>
                </c:pt>
                <c:pt idx="32">
                  <c:v>2.6513387173013911</c:v>
                </c:pt>
                <c:pt idx="33">
                  <c:v>2.6513387173013911</c:v>
                </c:pt>
                <c:pt idx="34">
                  <c:v>2.6513387173013911</c:v>
                </c:pt>
                <c:pt idx="35">
                  <c:v>2.6513387173013911</c:v>
                </c:pt>
                <c:pt idx="36">
                  <c:v>2.6513387173013911</c:v>
                </c:pt>
                <c:pt idx="37">
                  <c:v>2.6513387173013911</c:v>
                </c:pt>
                <c:pt idx="38">
                  <c:v>2.6513387173013911</c:v>
                </c:pt>
                <c:pt idx="39">
                  <c:v>2.6513387173013911</c:v>
                </c:pt>
                <c:pt idx="40">
                  <c:v>2.6513387173013911</c:v>
                </c:pt>
                <c:pt idx="41">
                  <c:v>2.6513387173013911</c:v>
                </c:pt>
                <c:pt idx="42">
                  <c:v>2.6513387173013911</c:v>
                </c:pt>
                <c:pt idx="43">
                  <c:v>2.6513387173013911</c:v>
                </c:pt>
                <c:pt idx="44">
                  <c:v>2.6513387173013911</c:v>
                </c:pt>
                <c:pt idx="45">
                  <c:v>2.6513387173013911</c:v>
                </c:pt>
                <c:pt idx="46">
                  <c:v>2.6513387173013911</c:v>
                </c:pt>
                <c:pt idx="47">
                  <c:v>2.6513387173013911</c:v>
                </c:pt>
                <c:pt idx="48">
                  <c:v>2.6513387173013911</c:v>
                </c:pt>
                <c:pt idx="49">
                  <c:v>2.6513387173013911</c:v>
                </c:pt>
                <c:pt idx="50">
                  <c:v>2.6513387173013911</c:v>
                </c:pt>
                <c:pt idx="51">
                  <c:v>2.6513387173013911</c:v>
                </c:pt>
                <c:pt idx="52">
                  <c:v>2.6513387173013911</c:v>
                </c:pt>
                <c:pt idx="53">
                  <c:v>2.6513387173013911</c:v>
                </c:pt>
                <c:pt idx="54">
                  <c:v>2.6513387173013911</c:v>
                </c:pt>
                <c:pt idx="55">
                  <c:v>2.6513387173013911</c:v>
                </c:pt>
                <c:pt idx="56">
                  <c:v>2.6513387173013911</c:v>
                </c:pt>
                <c:pt idx="57">
                  <c:v>2.6513387173013911</c:v>
                </c:pt>
                <c:pt idx="58">
                  <c:v>2.6513387173013911</c:v>
                </c:pt>
                <c:pt idx="59">
                  <c:v>2.6513387173013911</c:v>
                </c:pt>
                <c:pt idx="60">
                  <c:v>2.6513387173013911</c:v>
                </c:pt>
                <c:pt idx="61">
                  <c:v>2.6513387173013911</c:v>
                </c:pt>
                <c:pt idx="62">
                  <c:v>2.6513387173013911</c:v>
                </c:pt>
                <c:pt idx="63">
                  <c:v>2.6513387173013911</c:v>
                </c:pt>
                <c:pt idx="64">
                  <c:v>2.6513387173013911</c:v>
                </c:pt>
                <c:pt idx="65">
                  <c:v>2.6513387173013911</c:v>
                </c:pt>
                <c:pt idx="66">
                  <c:v>2.6513387173013911</c:v>
                </c:pt>
                <c:pt idx="67">
                  <c:v>2.6513387173013911</c:v>
                </c:pt>
                <c:pt idx="68">
                  <c:v>2.6513387173013911</c:v>
                </c:pt>
                <c:pt idx="69">
                  <c:v>2.6513387173013911</c:v>
                </c:pt>
                <c:pt idx="70">
                  <c:v>2.6513387173013911</c:v>
                </c:pt>
                <c:pt idx="71">
                  <c:v>2.6513387173013911</c:v>
                </c:pt>
                <c:pt idx="72">
                  <c:v>2.6513387173013911</c:v>
                </c:pt>
                <c:pt idx="73">
                  <c:v>2.6513387173013911</c:v>
                </c:pt>
                <c:pt idx="74">
                  <c:v>2.6513387173013911</c:v>
                </c:pt>
                <c:pt idx="75">
                  <c:v>2.6513387173013911</c:v>
                </c:pt>
                <c:pt idx="76">
                  <c:v>2.6513387173013911</c:v>
                </c:pt>
                <c:pt idx="77">
                  <c:v>2.6513387173013911</c:v>
                </c:pt>
                <c:pt idx="78">
                  <c:v>2.6513387173013911</c:v>
                </c:pt>
                <c:pt idx="79">
                  <c:v>2.6513387173013911</c:v>
                </c:pt>
                <c:pt idx="80">
                  <c:v>2.6513387173013911</c:v>
                </c:pt>
                <c:pt idx="81">
                  <c:v>2.6513387173013911</c:v>
                </c:pt>
                <c:pt idx="82">
                  <c:v>2.6513387173013911</c:v>
                </c:pt>
                <c:pt idx="83">
                  <c:v>2.6513387173013911</c:v>
                </c:pt>
                <c:pt idx="84">
                  <c:v>2.6513387173013911</c:v>
                </c:pt>
                <c:pt idx="85">
                  <c:v>2.6513387173013911</c:v>
                </c:pt>
                <c:pt idx="86">
                  <c:v>2.6513387173013911</c:v>
                </c:pt>
                <c:pt idx="87">
                  <c:v>2.6513387173013911</c:v>
                </c:pt>
                <c:pt idx="88">
                  <c:v>2.6513387173013911</c:v>
                </c:pt>
                <c:pt idx="89">
                  <c:v>2.6513387173013911</c:v>
                </c:pt>
                <c:pt idx="90">
                  <c:v>2.6513387173013911</c:v>
                </c:pt>
                <c:pt idx="91">
                  <c:v>2.6513387173013911</c:v>
                </c:pt>
                <c:pt idx="92">
                  <c:v>2.6513387173013911</c:v>
                </c:pt>
                <c:pt idx="93">
                  <c:v>2.6513387173013911</c:v>
                </c:pt>
                <c:pt idx="94">
                  <c:v>2.6513387173013911</c:v>
                </c:pt>
                <c:pt idx="95">
                  <c:v>2.6513387173013911</c:v>
                </c:pt>
                <c:pt idx="96">
                  <c:v>2.6513387173013911</c:v>
                </c:pt>
                <c:pt idx="97">
                  <c:v>2.6513387173013911</c:v>
                </c:pt>
                <c:pt idx="98">
                  <c:v>2.6513387173013911</c:v>
                </c:pt>
                <c:pt idx="99">
                  <c:v>2.6513387173013911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70E1-4C3B-9ACE-FFB6D97091E0}"/>
            </c:ext>
          </c:extLst>
        </c:ser>
        <c:ser>
          <c:idx val="6"/>
          <c:order val="5"/>
          <c:tx>
            <c:strRef>
              <c:f>Sheet1!$AG$2</c:f>
              <c:strCache>
                <c:ptCount val="1"/>
                <c:pt idx="0">
                  <c:v>UCL</c:v>
                </c:pt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val>
            <c:numRef>
              <c:f>Sheet1!$AG$3:$AG$102</c:f>
              <c:numCache>
                <c:formatCode>0.00_);[Red]\(0.00\)</c:formatCode>
                <c:ptCount val="100"/>
                <c:pt idx="0">
                  <c:v>8.1199490196078443</c:v>
                </c:pt>
                <c:pt idx="1">
                  <c:v>8.1199490196078443</c:v>
                </c:pt>
                <c:pt idx="2">
                  <c:v>8.1199490196078443</c:v>
                </c:pt>
                <c:pt idx="3">
                  <c:v>8.1199490196078443</c:v>
                </c:pt>
                <c:pt idx="4">
                  <c:v>8.1199490196078443</c:v>
                </c:pt>
                <c:pt idx="5">
                  <c:v>8.1199490196078443</c:v>
                </c:pt>
                <c:pt idx="6">
                  <c:v>8.1199490196078443</c:v>
                </c:pt>
                <c:pt idx="7">
                  <c:v>8.1199490196078443</c:v>
                </c:pt>
                <c:pt idx="8">
                  <c:v>8.1199490196078443</c:v>
                </c:pt>
                <c:pt idx="9">
                  <c:v>8.1199490196078443</c:v>
                </c:pt>
                <c:pt idx="10">
                  <c:v>8.1199490196078443</c:v>
                </c:pt>
                <c:pt idx="11">
                  <c:v>8.1199490196078443</c:v>
                </c:pt>
                <c:pt idx="12">
                  <c:v>8.1199490196078443</c:v>
                </c:pt>
                <c:pt idx="13">
                  <c:v>8.1199490196078443</c:v>
                </c:pt>
                <c:pt idx="14">
                  <c:v>8.1199490196078443</c:v>
                </c:pt>
                <c:pt idx="15">
                  <c:v>8.1199490196078443</c:v>
                </c:pt>
                <c:pt idx="16">
                  <c:v>8.1199490196078443</c:v>
                </c:pt>
                <c:pt idx="17">
                  <c:v>8.1199490196078443</c:v>
                </c:pt>
                <c:pt idx="18">
                  <c:v>8.1199490196078443</c:v>
                </c:pt>
                <c:pt idx="19">
                  <c:v>8.1199490196078443</c:v>
                </c:pt>
                <c:pt idx="20">
                  <c:v>8.1199490196078443</c:v>
                </c:pt>
                <c:pt idx="21">
                  <c:v>8.1199490196078443</c:v>
                </c:pt>
                <c:pt idx="22">
                  <c:v>8.1199490196078443</c:v>
                </c:pt>
                <c:pt idx="23">
                  <c:v>8.1199490196078443</c:v>
                </c:pt>
                <c:pt idx="24">
                  <c:v>8.1199490196078443</c:v>
                </c:pt>
                <c:pt idx="25">
                  <c:v>8.1199490196078443</c:v>
                </c:pt>
                <c:pt idx="26">
                  <c:v>8.1199490196078443</c:v>
                </c:pt>
                <c:pt idx="27">
                  <c:v>8.1199490196078443</c:v>
                </c:pt>
                <c:pt idx="28">
                  <c:v>8.1199490196078443</c:v>
                </c:pt>
                <c:pt idx="29">
                  <c:v>8.1199490196078443</c:v>
                </c:pt>
                <c:pt idx="30">
                  <c:v>8.1199490196078443</c:v>
                </c:pt>
                <c:pt idx="31">
                  <c:v>8.1199490196078443</c:v>
                </c:pt>
                <c:pt idx="32">
                  <c:v>8.1199490196078443</c:v>
                </c:pt>
                <c:pt idx="33">
                  <c:v>8.1199490196078443</c:v>
                </c:pt>
                <c:pt idx="34">
                  <c:v>8.1199490196078443</c:v>
                </c:pt>
                <c:pt idx="35">
                  <c:v>8.1199490196078443</c:v>
                </c:pt>
                <c:pt idx="36">
                  <c:v>8.1199490196078443</c:v>
                </c:pt>
                <c:pt idx="37">
                  <c:v>8.1199490196078443</c:v>
                </c:pt>
                <c:pt idx="38">
                  <c:v>8.1199490196078443</c:v>
                </c:pt>
                <c:pt idx="39">
                  <c:v>8.1199490196078443</c:v>
                </c:pt>
                <c:pt idx="40">
                  <c:v>8.1199490196078443</c:v>
                </c:pt>
                <c:pt idx="41">
                  <c:v>8.1199490196078443</c:v>
                </c:pt>
                <c:pt idx="42">
                  <c:v>8.1199490196078443</c:v>
                </c:pt>
                <c:pt idx="43">
                  <c:v>8.1199490196078443</c:v>
                </c:pt>
                <c:pt idx="44">
                  <c:v>8.1199490196078443</c:v>
                </c:pt>
                <c:pt idx="45">
                  <c:v>8.1199490196078443</c:v>
                </c:pt>
                <c:pt idx="46">
                  <c:v>8.1199490196078443</c:v>
                </c:pt>
                <c:pt idx="47">
                  <c:v>8.1199490196078443</c:v>
                </c:pt>
                <c:pt idx="48">
                  <c:v>8.1199490196078443</c:v>
                </c:pt>
                <c:pt idx="49">
                  <c:v>8.1199490196078443</c:v>
                </c:pt>
                <c:pt idx="50">
                  <c:v>8.1199490196078443</c:v>
                </c:pt>
                <c:pt idx="51">
                  <c:v>8.1199490196078443</c:v>
                </c:pt>
                <c:pt idx="52">
                  <c:v>8.1199490196078443</c:v>
                </c:pt>
                <c:pt idx="53">
                  <c:v>8.1199490196078443</c:v>
                </c:pt>
                <c:pt idx="54">
                  <c:v>8.1199490196078443</c:v>
                </c:pt>
                <c:pt idx="55">
                  <c:v>8.1199490196078443</c:v>
                </c:pt>
                <c:pt idx="56">
                  <c:v>8.1199490196078443</c:v>
                </c:pt>
                <c:pt idx="57">
                  <c:v>8.1199490196078443</c:v>
                </c:pt>
                <c:pt idx="58">
                  <c:v>8.1199490196078443</c:v>
                </c:pt>
                <c:pt idx="59">
                  <c:v>8.1199490196078443</c:v>
                </c:pt>
                <c:pt idx="60">
                  <c:v>8.1199490196078443</c:v>
                </c:pt>
                <c:pt idx="61">
                  <c:v>8.1199490196078443</c:v>
                </c:pt>
                <c:pt idx="62">
                  <c:v>8.1199490196078443</c:v>
                </c:pt>
                <c:pt idx="63">
                  <c:v>8.1199490196078443</c:v>
                </c:pt>
                <c:pt idx="64">
                  <c:v>8.1199490196078443</c:v>
                </c:pt>
                <c:pt idx="65">
                  <c:v>8.1199490196078443</c:v>
                </c:pt>
                <c:pt idx="66">
                  <c:v>8.1199490196078443</c:v>
                </c:pt>
                <c:pt idx="67">
                  <c:v>8.1199490196078443</c:v>
                </c:pt>
                <c:pt idx="68">
                  <c:v>8.1199490196078443</c:v>
                </c:pt>
                <c:pt idx="69">
                  <c:v>8.1199490196078443</c:v>
                </c:pt>
                <c:pt idx="70">
                  <c:v>8.1199490196078443</c:v>
                </c:pt>
                <c:pt idx="71">
                  <c:v>8.1199490196078443</c:v>
                </c:pt>
                <c:pt idx="72">
                  <c:v>8.1199490196078443</c:v>
                </c:pt>
                <c:pt idx="73">
                  <c:v>8.1199490196078443</c:v>
                </c:pt>
                <c:pt idx="74">
                  <c:v>8.1199490196078443</c:v>
                </c:pt>
                <c:pt idx="75">
                  <c:v>8.1199490196078443</c:v>
                </c:pt>
                <c:pt idx="76">
                  <c:v>8.1199490196078443</c:v>
                </c:pt>
                <c:pt idx="77">
                  <c:v>8.1199490196078443</c:v>
                </c:pt>
                <c:pt idx="78">
                  <c:v>8.1199490196078443</c:v>
                </c:pt>
                <c:pt idx="79">
                  <c:v>8.1199490196078443</c:v>
                </c:pt>
                <c:pt idx="80">
                  <c:v>8.1199490196078443</c:v>
                </c:pt>
                <c:pt idx="81">
                  <c:v>8.1199490196078443</c:v>
                </c:pt>
                <c:pt idx="82">
                  <c:v>8.1199490196078443</c:v>
                </c:pt>
                <c:pt idx="83">
                  <c:v>8.1199490196078443</c:v>
                </c:pt>
                <c:pt idx="84">
                  <c:v>8.1199490196078443</c:v>
                </c:pt>
                <c:pt idx="85">
                  <c:v>8.1199490196078443</c:v>
                </c:pt>
                <c:pt idx="86">
                  <c:v>8.1199490196078443</c:v>
                </c:pt>
                <c:pt idx="87">
                  <c:v>8.1199490196078443</c:v>
                </c:pt>
                <c:pt idx="88">
                  <c:v>8.1199490196078443</c:v>
                </c:pt>
                <c:pt idx="89">
                  <c:v>8.1199490196078443</c:v>
                </c:pt>
                <c:pt idx="90">
                  <c:v>8.1199490196078443</c:v>
                </c:pt>
                <c:pt idx="91">
                  <c:v>8.1199490196078443</c:v>
                </c:pt>
                <c:pt idx="92">
                  <c:v>8.1199490196078443</c:v>
                </c:pt>
                <c:pt idx="93">
                  <c:v>8.1199490196078443</c:v>
                </c:pt>
                <c:pt idx="94">
                  <c:v>8.1199490196078443</c:v>
                </c:pt>
                <c:pt idx="95">
                  <c:v>8.1199490196078443</c:v>
                </c:pt>
                <c:pt idx="96">
                  <c:v>8.1199490196078443</c:v>
                </c:pt>
                <c:pt idx="97">
                  <c:v>8.1199490196078443</c:v>
                </c:pt>
                <c:pt idx="98">
                  <c:v>8.1199490196078443</c:v>
                </c:pt>
                <c:pt idx="99">
                  <c:v>8.1199490196078443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70E1-4C3B-9ACE-FFB6D97091E0}"/>
            </c:ext>
          </c:extLst>
        </c:ser>
        <c:ser>
          <c:idx val="4"/>
          <c:order val="6"/>
          <c:tx>
            <c:strRef>
              <c:f>Sheet1!$AH$2</c:f>
              <c:strCache>
                <c:ptCount val="1"/>
                <c:pt idx="0">
                  <c:v>LCL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val>
            <c:numRef>
              <c:f>Sheet1!$AH$3:$AH$102</c:f>
              <c:numCache>
                <c:formatCode>0.00_);[Red]\(0.00\)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70E1-4C3B-9ACE-FFB6D9709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79608"/>
        <c:axId val="467484200"/>
      </c:lineChart>
      <c:catAx>
        <c:axId val="4674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ja-JP"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No.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84200"/>
        <c:crosses val="autoZero"/>
        <c:auto val="1"/>
        <c:lblAlgn val="ctr"/>
        <c:lblOffset val="100"/>
        <c:noMultiLvlLbl val="0"/>
      </c:catAx>
      <c:valAx>
        <c:axId val="46748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0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>
                    <a:latin typeface="+mn-lt"/>
                  </a:rPr>
                  <a:t>cYCLE</a:t>
                </a:r>
                <a:r>
                  <a:rPr lang="en-US" altLang="ja-JP" sz="1000" baseline="0">
                    <a:latin typeface="+mn-lt"/>
                  </a:rPr>
                  <a:t> tIME (SEC)</a:t>
                </a:r>
                <a:endParaRPr lang="ja-JP" altLang="en-US" sz="1000">
                  <a:latin typeface="+mn-lt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_);[Red]\(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79608"/>
        <c:crosses val="autoZero"/>
        <c:crossBetween val="between"/>
      </c:valAx>
      <c:spPr>
        <a:noFill/>
        <a:ln>
          <a:solidFill>
            <a:schemeClr val="bg2"/>
          </a:solidFill>
        </a:ln>
        <a:effectLst/>
      </c:spPr>
    </c:plotArea>
    <c:legend>
      <c:legendPos val="r"/>
      <c:layout>
        <c:manualLayout>
          <c:xMode val="edge"/>
          <c:yMode val="edge"/>
          <c:x val="0.10163641534403409"/>
          <c:y val="0.12118500758339464"/>
          <c:w val="0.87685208506561596"/>
          <c:h val="8.648775304471025E-2"/>
        </c:manualLayout>
      </c:layout>
      <c:overlay val="1"/>
    </c:legend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Lap Time (s)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Sheet1!$C$2</c:f>
              <c:strCache>
                <c:ptCount val="1"/>
                <c:pt idx="0">
                  <c:v>Lap Time(s)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Sheet1!$B$3:$B$102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Sheet1!$C$3:$C$101</c:f>
              <c:numCache>
                <c:formatCode>0.0_);[Red]\(0.0\)</c:formatCode>
                <c:ptCount val="99"/>
                <c:pt idx="0">
                  <c:v>1.3333333333333333</c:v>
                </c:pt>
                <c:pt idx="1">
                  <c:v>3.6666666666666665</c:v>
                </c:pt>
                <c:pt idx="2">
                  <c:v>5.333333333333333</c:v>
                </c:pt>
                <c:pt idx="3">
                  <c:v>7.166666666666667</c:v>
                </c:pt>
                <c:pt idx="4">
                  <c:v>9.1666666666666661</c:v>
                </c:pt>
                <c:pt idx="5">
                  <c:v>12</c:v>
                </c:pt>
                <c:pt idx="6">
                  <c:v>14.5</c:v>
                </c:pt>
                <c:pt idx="7">
                  <c:v>17.666666666666668</c:v>
                </c:pt>
                <c:pt idx="8">
                  <c:v>20.5</c:v>
                </c:pt>
                <c:pt idx="9">
                  <c:v>21.666666666666668</c:v>
                </c:pt>
                <c:pt idx="10">
                  <c:v>24.166666666666668</c:v>
                </c:pt>
                <c:pt idx="11">
                  <c:v>28</c:v>
                </c:pt>
                <c:pt idx="12">
                  <c:v>29.666666666666668</c:v>
                </c:pt>
                <c:pt idx="13">
                  <c:v>31.833333333333332</c:v>
                </c:pt>
                <c:pt idx="14">
                  <c:v>33.833333333333336</c:v>
                </c:pt>
                <c:pt idx="15">
                  <c:v>35.833333333333336</c:v>
                </c:pt>
                <c:pt idx="16">
                  <c:v>38.333333333333336</c:v>
                </c:pt>
                <c:pt idx="17">
                  <c:v>40.666666666666664</c:v>
                </c:pt>
                <c:pt idx="18">
                  <c:v>42.333333333333336</c:v>
                </c:pt>
                <c:pt idx="19">
                  <c:v>44.666666666666664</c:v>
                </c:pt>
                <c:pt idx="20">
                  <c:v>46.5</c:v>
                </c:pt>
                <c:pt idx="21">
                  <c:v>48.5</c:v>
                </c:pt>
                <c:pt idx="22">
                  <c:v>50</c:v>
                </c:pt>
                <c:pt idx="23">
                  <c:v>52</c:v>
                </c:pt>
                <c:pt idx="24">
                  <c:v>54</c:v>
                </c:pt>
                <c:pt idx="25">
                  <c:v>56.166666666666664</c:v>
                </c:pt>
                <c:pt idx="26">
                  <c:v>58</c:v>
                </c:pt>
                <c:pt idx="27">
                  <c:v>59.833333333333336</c:v>
                </c:pt>
                <c:pt idx="28">
                  <c:v>62</c:v>
                </c:pt>
                <c:pt idx="29">
                  <c:v>64.166666666666671</c:v>
                </c:pt>
                <c:pt idx="30">
                  <c:v>66.833333333333329</c:v>
                </c:pt>
                <c:pt idx="31">
                  <c:v>69.333333333333329</c:v>
                </c:pt>
                <c:pt idx="32">
                  <c:v>72</c:v>
                </c:pt>
                <c:pt idx="33">
                  <c:v>74.5</c:v>
                </c:pt>
                <c:pt idx="34">
                  <c:v>77.166666666666671</c:v>
                </c:pt>
                <c:pt idx="35">
                  <c:v>79.333333333333329</c:v>
                </c:pt>
                <c:pt idx="36">
                  <c:v>81.333333333333329</c:v>
                </c:pt>
                <c:pt idx="37">
                  <c:v>83.666666666666671</c:v>
                </c:pt>
                <c:pt idx="38">
                  <c:v>86.166666666666671</c:v>
                </c:pt>
                <c:pt idx="39">
                  <c:v>88.5</c:v>
                </c:pt>
                <c:pt idx="40">
                  <c:v>90.5</c:v>
                </c:pt>
                <c:pt idx="41">
                  <c:v>92.833333333333329</c:v>
                </c:pt>
                <c:pt idx="42">
                  <c:v>95</c:v>
                </c:pt>
                <c:pt idx="43">
                  <c:v>97.333333333333329</c:v>
                </c:pt>
                <c:pt idx="44">
                  <c:v>99.5</c:v>
                </c:pt>
                <c:pt idx="45">
                  <c:v>101.83333333333333</c:v>
                </c:pt>
                <c:pt idx="46">
                  <c:v>104</c:v>
                </c:pt>
                <c:pt idx="47">
                  <c:v>106.16666666666667</c:v>
                </c:pt>
                <c:pt idx="48">
                  <c:v>108.5</c:v>
                </c:pt>
                <c:pt idx="49">
                  <c:v>110.66666666666667</c:v>
                </c:pt>
                <c:pt idx="50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7B-4B84-A60C-BD103B703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79608"/>
        <c:axId val="467484200"/>
      </c:lineChart>
      <c:catAx>
        <c:axId val="4674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50"/>
                  <a:t>No.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84200"/>
        <c:crosses val="autoZero"/>
        <c:auto val="1"/>
        <c:lblAlgn val="ctr"/>
        <c:lblOffset val="100"/>
        <c:noMultiLvlLbl val="0"/>
      </c:catAx>
      <c:valAx>
        <c:axId val="46748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Lap</a:t>
                </a:r>
                <a:r>
                  <a:rPr lang="en-US" altLang="ja-JP" baseline="0"/>
                  <a:t> </a:t>
                </a:r>
                <a:r>
                  <a:rPr lang="en-US" altLang="ja-JP"/>
                  <a:t>Time (sec)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ja-JP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_);[Red]\(0.0\)" sourceLinked="1"/>
        <c:majorTickMark val="in"/>
        <c:minorTickMark val="in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79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1263337051053108"/>
          <c:y val="7.9201240403313555E-2"/>
          <c:w val="0.15504723720940963"/>
          <c:h val="7.8205400016566937E-2"/>
        </c:manualLayout>
      </c:layout>
      <c:overlay val="1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</a:t>
            </a:r>
            <a:r>
              <a:rPr lang="en-US" altLang="ja-JP" i="1"/>
              <a:t>s </a:t>
            </a:r>
            <a:r>
              <a:rPr lang="en-US" altLang="ja-JP" i="0"/>
              <a:t>(</a:t>
            </a:r>
            <a:r>
              <a:rPr lang="en-US" altLang="ja-JP" i="0" baseline="0"/>
              <a:t> Successive Range) Control Chart</a:t>
            </a:r>
            <a:endParaRPr lang="en-US" altLang="ja-JP" i="1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Sheet1!$AE$2</c:f>
              <c:strCache>
                <c:ptCount val="1"/>
                <c:pt idx="0">
                  <c:v>Rs</c:v>
                </c:pt>
              </c:strCache>
            </c:strRef>
          </c:tx>
          <c:marker>
            <c:symbol val="none"/>
          </c:marker>
          <c:val>
            <c:numRef>
              <c:f>Sheet1!$AE$3:$AE$102</c:f>
              <c:numCache>
                <c:formatCode>0.00_);[Red]\(0.00\)</c:formatCode>
                <c:ptCount val="100"/>
                <c:pt idx="1">
                  <c:v>2.333333333333333</c:v>
                </c:pt>
                <c:pt idx="2">
                  <c:v>1.6666666666666665</c:v>
                </c:pt>
                <c:pt idx="3">
                  <c:v>1.8333333333333339</c:v>
                </c:pt>
                <c:pt idx="4">
                  <c:v>1.9999999999999991</c:v>
                </c:pt>
                <c:pt idx="5">
                  <c:v>2.8333333333333339</c:v>
                </c:pt>
                <c:pt idx="6">
                  <c:v>2.5</c:v>
                </c:pt>
                <c:pt idx="7">
                  <c:v>3.1666666666666679</c:v>
                </c:pt>
                <c:pt idx="8">
                  <c:v>2.8333333333333321</c:v>
                </c:pt>
                <c:pt idx="9">
                  <c:v>1.1666666666666679</c:v>
                </c:pt>
                <c:pt idx="10">
                  <c:v>2.5</c:v>
                </c:pt>
                <c:pt idx="11">
                  <c:v>3.8333333333333321</c:v>
                </c:pt>
                <c:pt idx="12">
                  <c:v>1.6666666666666679</c:v>
                </c:pt>
                <c:pt idx="13">
                  <c:v>2.1666666666666643</c:v>
                </c:pt>
                <c:pt idx="14">
                  <c:v>2.0000000000000036</c:v>
                </c:pt>
                <c:pt idx="15">
                  <c:v>2</c:v>
                </c:pt>
                <c:pt idx="16">
                  <c:v>2.5</c:v>
                </c:pt>
                <c:pt idx="17">
                  <c:v>2.3333333333333286</c:v>
                </c:pt>
                <c:pt idx="18">
                  <c:v>1.6666666666666714</c:v>
                </c:pt>
                <c:pt idx="19">
                  <c:v>2.3333333333333286</c:v>
                </c:pt>
                <c:pt idx="20">
                  <c:v>1.8333333333333357</c:v>
                </c:pt>
                <c:pt idx="21">
                  <c:v>2</c:v>
                </c:pt>
                <c:pt idx="22">
                  <c:v>1.5</c:v>
                </c:pt>
                <c:pt idx="23">
                  <c:v>2</c:v>
                </c:pt>
                <c:pt idx="24">
                  <c:v>2</c:v>
                </c:pt>
                <c:pt idx="25">
                  <c:v>2.1666666666666643</c:v>
                </c:pt>
                <c:pt idx="26">
                  <c:v>1.8333333333333357</c:v>
                </c:pt>
                <c:pt idx="27">
                  <c:v>1.8333333333333357</c:v>
                </c:pt>
                <c:pt idx="28">
                  <c:v>2.1666666666666643</c:v>
                </c:pt>
                <c:pt idx="29">
                  <c:v>2.1666666666666714</c:v>
                </c:pt>
                <c:pt idx="30">
                  <c:v>2.6666666666666572</c:v>
                </c:pt>
                <c:pt idx="31">
                  <c:v>2.5</c:v>
                </c:pt>
                <c:pt idx="32">
                  <c:v>2.6666666666666714</c:v>
                </c:pt>
                <c:pt idx="33">
                  <c:v>2.5</c:v>
                </c:pt>
                <c:pt idx="34">
                  <c:v>2.6666666666666714</c:v>
                </c:pt>
                <c:pt idx="35">
                  <c:v>2.1666666666666572</c:v>
                </c:pt>
                <c:pt idx="36">
                  <c:v>2</c:v>
                </c:pt>
                <c:pt idx="37">
                  <c:v>2.3333333333333428</c:v>
                </c:pt>
                <c:pt idx="38">
                  <c:v>2.5</c:v>
                </c:pt>
                <c:pt idx="39">
                  <c:v>2.3333333333333286</c:v>
                </c:pt>
                <c:pt idx="40">
                  <c:v>2</c:v>
                </c:pt>
                <c:pt idx="41">
                  <c:v>2.3333333333333286</c:v>
                </c:pt>
                <c:pt idx="42">
                  <c:v>2.1666666666666714</c:v>
                </c:pt>
                <c:pt idx="43">
                  <c:v>2.3333333333333286</c:v>
                </c:pt>
                <c:pt idx="44">
                  <c:v>2.1666666666666714</c:v>
                </c:pt>
                <c:pt idx="45">
                  <c:v>2.3333333333333286</c:v>
                </c:pt>
                <c:pt idx="46">
                  <c:v>2.1666666666666714</c:v>
                </c:pt>
                <c:pt idx="47">
                  <c:v>2.1666666666666714</c:v>
                </c:pt>
                <c:pt idx="48">
                  <c:v>2.3333333333333286</c:v>
                </c:pt>
                <c:pt idx="49">
                  <c:v>2.1666666666666714</c:v>
                </c:pt>
                <c:pt idx="50">
                  <c:v>1.8333333333333286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EDE-4D18-8458-048821E495FA}"/>
            </c:ext>
          </c:extLst>
        </c:ser>
        <c:ser>
          <c:idx val="0"/>
          <c:order val="1"/>
          <c:tx>
            <c:strRef>
              <c:f>Sheet1!$AI$2</c:f>
              <c:strCache>
                <c:ptCount val="1"/>
                <c:pt idx="0">
                  <c:v>Rs UCL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Sheet1!$AI$3:$AI$102</c:f>
              <c:numCache>
                <c:formatCode>0.00_);[Red]\(0.00\)</c:formatCode>
                <c:ptCount val="100"/>
                <c:pt idx="0">
                  <c:v>7.2703000000000007</c:v>
                </c:pt>
                <c:pt idx="1">
                  <c:v>7.2703000000000007</c:v>
                </c:pt>
                <c:pt idx="2">
                  <c:v>7.2703000000000007</c:v>
                </c:pt>
                <c:pt idx="3">
                  <c:v>7.2703000000000007</c:v>
                </c:pt>
                <c:pt idx="4">
                  <c:v>7.2703000000000007</c:v>
                </c:pt>
                <c:pt idx="5">
                  <c:v>7.2703000000000007</c:v>
                </c:pt>
                <c:pt idx="6">
                  <c:v>7.2703000000000007</c:v>
                </c:pt>
                <c:pt idx="7">
                  <c:v>7.2703000000000007</c:v>
                </c:pt>
                <c:pt idx="8">
                  <c:v>7.2703000000000007</c:v>
                </c:pt>
                <c:pt idx="9">
                  <c:v>7.2703000000000007</c:v>
                </c:pt>
                <c:pt idx="10">
                  <c:v>7.2703000000000007</c:v>
                </c:pt>
                <c:pt idx="11">
                  <c:v>7.2703000000000007</c:v>
                </c:pt>
                <c:pt idx="12">
                  <c:v>7.2703000000000007</c:v>
                </c:pt>
                <c:pt idx="13">
                  <c:v>7.2703000000000007</c:v>
                </c:pt>
                <c:pt idx="14">
                  <c:v>7.2703000000000007</c:v>
                </c:pt>
                <c:pt idx="15">
                  <c:v>7.2703000000000007</c:v>
                </c:pt>
                <c:pt idx="16">
                  <c:v>7.2703000000000007</c:v>
                </c:pt>
                <c:pt idx="17">
                  <c:v>7.2703000000000007</c:v>
                </c:pt>
                <c:pt idx="18">
                  <c:v>7.2703000000000007</c:v>
                </c:pt>
                <c:pt idx="19">
                  <c:v>7.2703000000000007</c:v>
                </c:pt>
                <c:pt idx="20">
                  <c:v>7.2703000000000007</c:v>
                </c:pt>
                <c:pt idx="21">
                  <c:v>7.2703000000000007</c:v>
                </c:pt>
                <c:pt idx="22">
                  <c:v>7.2703000000000007</c:v>
                </c:pt>
                <c:pt idx="23">
                  <c:v>7.2703000000000007</c:v>
                </c:pt>
                <c:pt idx="24">
                  <c:v>7.2703000000000007</c:v>
                </c:pt>
                <c:pt idx="25">
                  <c:v>7.2703000000000007</c:v>
                </c:pt>
                <c:pt idx="26">
                  <c:v>7.2703000000000007</c:v>
                </c:pt>
                <c:pt idx="27">
                  <c:v>7.2703000000000007</c:v>
                </c:pt>
                <c:pt idx="28">
                  <c:v>7.2703000000000007</c:v>
                </c:pt>
                <c:pt idx="29">
                  <c:v>7.2703000000000007</c:v>
                </c:pt>
                <c:pt idx="30">
                  <c:v>7.2703000000000007</c:v>
                </c:pt>
                <c:pt idx="31">
                  <c:v>7.2703000000000007</c:v>
                </c:pt>
                <c:pt idx="32">
                  <c:v>7.2703000000000007</c:v>
                </c:pt>
                <c:pt idx="33">
                  <c:v>7.2703000000000007</c:v>
                </c:pt>
                <c:pt idx="34">
                  <c:v>7.2703000000000007</c:v>
                </c:pt>
                <c:pt idx="35">
                  <c:v>7.2703000000000007</c:v>
                </c:pt>
                <c:pt idx="36">
                  <c:v>7.2703000000000007</c:v>
                </c:pt>
                <c:pt idx="37">
                  <c:v>7.2703000000000007</c:v>
                </c:pt>
                <c:pt idx="38">
                  <c:v>7.2703000000000007</c:v>
                </c:pt>
                <c:pt idx="39">
                  <c:v>7.2703000000000007</c:v>
                </c:pt>
                <c:pt idx="40">
                  <c:v>7.2703000000000007</c:v>
                </c:pt>
                <c:pt idx="41">
                  <c:v>7.2703000000000007</c:v>
                </c:pt>
                <c:pt idx="42">
                  <c:v>7.2703000000000007</c:v>
                </c:pt>
                <c:pt idx="43">
                  <c:v>7.2703000000000007</c:v>
                </c:pt>
                <c:pt idx="44">
                  <c:v>7.2703000000000007</c:v>
                </c:pt>
                <c:pt idx="45">
                  <c:v>7.2703000000000007</c:v>
                </c:pt>
                <c:pt idx="46">
                  <c:v>7.2703000000000007</c:v>
                </c:pt>
                <c:pt idx="47">
                  <c:v>7.2703000000000007</c:v>
                </c:pt>
                <c:pt idx="48">
                  <c:v>7.2703000000000007</c:v>
                </c:pt>
                <c:pt idx="49">
                  <c:v>7.2703000000000007</c:v>
                </c:pt>
                <c:pt idx="50">
                  <c:v>7.2703000000000007</c:v>
                </c:pt>
                <c:pt idx="51">
                  <c:v>7.2703000000000007</c:v>
                </c:pt>
                <c:pt idx="52">
                  <c:v>7.2703000000000007</c:v>
                </c:pt>
                <c:pt idx="53">
                  <c:v>7.2703000000000007</c:v>
                </c:pt>
                <c:pt idx="54">
                  <c:v>7.2703000000000007</c:v>
                </c:pt>
                <c:pt idx="55">
                  <c:v>7.2703000000000007</c:v>
                </c:pt>
                <c:pt idx="56">
                  <c:v>7.2703000000000007</c:v>
                </c:pt>
                <c:pt idx="57">
                  <c:v>7.2703000000000007</c:v>
                </c:pt>
                <c:pt idx="58">
                  <c:v>7.2703000000000007</c:v>
                </c:pt>
                <c:pt idx="59">
                  <c:v>7.2703000000000007</c:v>
                </c:pt>
                <c:pt idx="60">
                  <c:v>7.2703000000000007</c:v>
                </c:pt>
                <c:pt idx="61">
                  <c:v>7.2703000000000007</c:v>
                </c:pt>
                <c:pt idx="62">
                  <c:v>7.2703000000000007</c:v>
                </c:pt>
                <c:pt idx="63">
                  <c:v>7.2703000000000007</c:v>
                </c:pt>
                <c:pt idx="64">
                  <c:v>7.2703000000000007</c:v>
                </c:pt>
                <c:pt idx="65">
                  <c:v>7.2703000000000007</c:v>
                </c:pt>
                <c:pt idx="66">
                  <c:v>7.2703000000000007</c:v>
                </c:pt>
                <c:pt idx="67">
                  <c:v>7.2703000000000007</c:v>
                </c:pt>
                <c:pt idx="68">
                  <c:v>7.2703000000000007</c:v>
                </c:pt>
                <c:pt idx="69">
                  <c:v>7.2703000000000007</c:v>
                </c:pt>
                <c:pt idx="70">
                  <c:v>7.2703000000000007</c:v>
                </c:pt>
                <c:pt idx="71">
                  <c:v>7.2703000000000007</c:v>
                </c:pt>
                <c:pt idx="72">
                  <c:v>7.2703000000000007</c:v>
                </c:pt>
                <c:pt idx="73">
                  <c:v>7.2703000000000007</c:v>
                </c:pt>
                <c:pt idx="74">
                  <c:v>7.2703000000000007</c:v>
                </c:pt>
                <c:pt idx="75">
                  <c:v>7.2703000000000007</c:v>
                </c:pt>
                <c:pt idx="76">
                  <c:v>7.2703000000000007</c:v>
                </c:pt>
                <c:pt idx="77">
                  <c:v>7.2703000000000007</c:v>
                </c:pt>
                <c:pt idx="78">
                  <c:v>7.2703000000000007</c:v>
                </c:pt>
                <c:pt idx="79">
                  <c:v>7.2703000000000007</c:v>
                </c:pt>
                <c:pt idx="80">
                  <c:v>7.2703000000000007</c:v>
                </c:pt>
                <c:pt idx="81">
                  <c:v>7.2703000000000007</c:v>
                </c:pt>
                <c:pt idx="82">
                  <c:v>7.2703000000000007</c:v>
                </c:pt>
                <c:pt idx="83">
                  <c:v>7.2703000000000007</c:v>
                </c:pt>
                <c:pt idx="84">
                  <c:v>7.2703000000000007</c:v>
                </c:pt>
                <c:pt idx="85">
                  <c:v>7.2703000000000007</c:v>
                </c:pt>
                <c:pt idx="86">
                  <c:v>7.2703000000000007</c:v>
                </c:pt>
                <c:pt idx="87">
                  <c:v>7.2703000000000007</c:v>
                </c:pt>
                <c:pt idx="88">
                  <c:v>7.2703000000000007</c:v>
                </c:pt>
                <c:pt idx="89">
                  <c:v>7.2703000000000007</c:v>
                </c:pt>
                <c:pt idx="90">
                  <c:v>7.2703000000000007</c:v>
                </c:pt>
                <c:pt idx="91">
                  <c:v>7.2703000000000007</c:v>
                </c:pt>
                <c:pt idx="92">
                  <c:v>7.2703000000000007</c:v>
                </c:pt>
                <c:pt idx="93">
                  <c:v>7.2703000000000007</c:v>
                </c:pt>
                <c:pt idx="94">
                  <c:v>7.2703000000000007</c:v>
                </c:pt>
                <c:pt idx="95">
                  <c:v>7.2703000000000007</c:v>
                </c:pt>
                <c:pt idx="96">
                  <c:v>7.2703000000000007</c:v>
                </c:pt>
                <c:pt idx="97">
                  <c:v>7.2703000000000007</c:v>
                </c:pt>
                <c:pt idx="98">
                  <c:v>7.2703000000000007</c:v>
                </c:pt>
                <c:pt idx="99">
                  <c:v>7.2703000000000007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DE-4D18-8458-048821E49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479608"/>
        <c:axId val="467484200"/>
      </c:lineChart>
      <c:catAx>
        <c:axId val="4674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50"/>
                  <a:t>No.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84200"/>
        <c:crosses val="autoZero"/>
        <c:auto val="1"/>
        <c:lblAlgn val="ctr"/>
        <c:lblOffset val="100"/>
        <c:noMultiLvlLbl val="0"/>
      </c:catAx>
      <c:valAx>
        <c:axId val="46748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ja-JP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Successive</a:t>
                </a:r>
                <a:r>
                  <a:rPr lang="en-US" altLang="ja-JP" baseline="0"/>
                  <a:t> Range </a:t>
                </a:r>
                <a:r>
                  <a:rPr lang="en-US" altLang="ja-JP"/>
                  <a:t> (sec)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_);[Red]\(0.00\)" sourceLinked="1"/>
        <c:majorTickMark val="in"/>
        <c:minorTickMark val="in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7479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42441384837612"/>
          <c:y val="6.4194301632718442E-2"/>
          <c:w val="0.20156544617557254"/>
          <c:h val="0.10735881891651544"/>
        </c:manualLayout>
      </c:layout>
      <c:overlay val="1"/>
    </c:legend>
    <c:plotVisOnly val="1"/>
    <c:dispBlanksAs val="gap"/>
    <c:showDLblsOverMax val="0"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246530</xdr:colOff>
      <xdr:row>1</xdr:row>
      <xdr:rowOff>210111</xdr:rowOff>
    </xdr:from>
    <xdr:to>
      <xdr:col>16</xdr:col>
      <xdr:colOff>663949</xdr:colOff>
      <xdr:row>13</xdr:row>
      <xdr:rowOff>105336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246530</xdr:colOff>
      <xdr:row>14</xdr:row>
      <xdr:rowOff>60512</xdr:rowOff>
    </xdr:from>
    <xdr:to>
      <xdr:col>16</xdr:col>
      <xdr:colOff>654424</xdr:colOff>
      <xdr:row>25</xdr:row>
      <xdr:rowOff>181536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279155</xdr:colOff>
      <xdr:row>0</xdr:row>
      <xdr:rowOff>31504</xdr:rowOff>
    </xdr:from>
    <xdr:to>
      <xdr:col>8</xdr:col>
      <xdr:colOff>216144</xdr:colOff>
      <xdr:row>0</xdr:row>
      <xdr:rowOff>424962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552648-D671-4745-BD98-8E4B8FAA4AB0}"/>
            </a:ext>
          </a:extLst>
        </xdr:cNvPr>
        <xdr:cNvSpPr/>
      </xdr:nvSpPr>
      <xdr:spPr>
        <a:xfrm>
          <a:off x="5100270" y="31504"/>
          <a:ext cx="1365739" cy="393458"/>
        </a:xfrm>
        <a:prstGeom prst="roundRect">
          <a:avLst>
            <a:gd name="adj" fmla="val 7821"/>
          </a:avLst>
        </a:prstGeom>
        <a:solidFill>
          <a:schemeClr val="bg1">
            <a:lumMod val="8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kumimoji="1" lang="en-US" altLang="ja-JP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Stopwatch</a:t>
          </a:r>
          <a:endParaRPr kumimoji="1" lang="ja-JP" alt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248382</xdr:colOff>
      <xdr:row>0</xdr:row>
      <xdr:rowOff>31504</xdr:rowOff>
    </xdr:from>
    <xdr:to>
      <xdr:col>10</xdr:col>
      <xdr:colOff>236659</xdr:colOff>
      <xdr:row>0</xdr:row>
      <xdr:rowOff>428089</xdr:rowOff>
    </xdr:to>
    <xdr:sp macro="[0]!RectangleRoundedCorners3_Cli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6CF5F5F-C0A8-4764-9461-4220CBA590DB}"/>
            </a:ext>
          </a:extLst>
        </xdr:cNvPr>
        <xdr:cNvSpPr/>
      </xdr:nvSpPr>
      <xdr:spPr>
        <a:xfrm>
          <a:off x="6498247" y="31504"/>
          <a:ext cx="1365739" cy="396585"/>
        </a:xfrm>
        <a:prstGeom prst="roundRect">
          <a:avLst>
            <a:gd name="adj" fmla="val 8724"/>
          </a:avLst>
        </a:prstGeom>
        <a:solidFill>
          <a:schemeClr val="bg1">
            <a:lumMod val="8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kumimoji="1" lang="en-US" altLang="ja-JP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Reset</a:t>
          </a:r>
          <a:endParaRPr kumimoji="1" lang="ja-JP" alt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268897</xdr:colOff>
      <xdr:row>0</xdr:row>
      <xdr:rowOff>31504</xdr:rowOff>
    </xdr:from>
    <xdr:to>
      <xdr:col>12</xdr:col>
      <xdr:colOff>257175</xdr:colOff>
      <xdr:row>0</xdr:row>
      <xdr:rowOff>428089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A87FDD8-7D88-4BDC-AC9F-B25D1B8EB7F8}"/>
            </a:ext>
          </a:extLst>
        </xdr:cNvPr>
        <xdr:cNvSpPr/>
      </xdr:nvSpPr>
      <xdr:spPr>
        <a:xfrm>
          <a:off x="7896224" y="31504"/>
          <a:ext cx="1365739" cy="396585"/>
        </a:xfrm>
        <a:prstGeom prst="roundRect">
          <a:avLst>
            <a:gd name="adj" fmla="val 7841"/>
          </a:avLst>
        </a:prstGeom>
        <a:solidFill>
          <a:schemeClr val="bg1">
            <a:lumMod val="8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kumimoji="1" lang="en-US" altLang="ja-JP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Copy Sheet</a:t>
          </a:r>
          <a:endParaRPr kumimoji="1" lang="ja-JP" altLang="en-US" sz="16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257175</xdr:colOff>
      <xdr:row>26</xdr:row>
      <xdr:rowOff>28575</xdr:rowOff>
    </xdr:from>
    <xdr:to>
      <xdr:col>16</xdr:col>
      <xdr:colOff>665069</xdr:colOff>
      <xdr:row>37</xdr:row>
      <xdr:rowOff>149599</xdr:rowOff>
    </xdr:to>
    <xdr:graphicFrame macro="">
      <xdr:nvGraphicFramePr>
        <xdr:cNvPr id="8" name="グラフ 6">
          <a:extLst>
            <a:ext uri="{FF2B5EF4-FFF2-40B4-BE49-F238E27FC236}">
              <a16:creationId xmlns:a16="http://schemas.microsoft.com/office/drawing/2014/main" id="{66914B9E-68A0-4AE8-A330-DF22B2E88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9</xdr:row>
      <xdr:rowOff>95250</xdr:rowOff>
    </xdr:from>
    <xdr:to>
      <xdr:col>9</xdr:col>
      <xdr:colOff>562359</xdr:colOff>
      <xdr:row>21</xdr:row>
      <xdr:rowOff>57548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D3691D7-F46F-4275-A18C-EA87197A6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14850" y="2171700"/>
          <a:ext cx="2753109" cy="284837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150159</xdr:colOff>
      <xdr:row>1</xdr:row>
      <xdr:rowOff>151841</xdr:rowOff>
    </xdr:from>
    <xdr:to>
      <xdr:col>12</xdr:col>
      <xdr:colOff>325230</xdr:colOff>
      <xdr:row>6</xdr:row>
      <xdr:rowOff>233642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5811" b="78536"/>
        <a:stretch/>
      </xdr:blipFill>
      <xdr:spPr>
        <a:xfrm>
          <a:off x="2636184" y="151841"/>
          <a:ext cx="6347271" cy="134862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oneCellAnchor>
    <xdr:from>
      <xdr:col>5</xdr:col>
      <xdr:colOff>200026</xdr:colOff>
      <xdr:row>3</xdr:row>
      <xdr:rowOff>104775</xdr:rowOff>
    </xdr:from>
    <xdr:ext cx="333375" cy="352425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57651" y="64770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①</a:t>
          </a:r>
        </a:p>
      </xdr:txBody>
    </xdr:sp>
    <xdr:clientData/>
  </xdr:oneCellAnchor>
  <xdr:twoCellAnchor>
    <xdr:from>
      <xdr:col>10</xdr:col>
      <xdr:colOff>95250</xdr:colOff>
      <xdr:row>7</xdr:row>
      <xdr:rowOff>180976</xdr:rowOff>
    </xdr:from>
    <xdr:to>
      <xdr:col>11</xdr:col>
      <xdr:colOff>571500</xdr:colOff>
      <xdr:row>8</xdr:row>
      <xdr:rowOff>209551</xdr:rowOff>
    </xdr:to>
    <xdr:sp macro="" textlink="">
      <xdr:nvSpPr>
        <xdr:cNvPr id="5" name="吹き出し: 線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486650" y="1781176"/>
          <a:ext cx="1162050" cy="266700"/>
        </a:xfrm>
        <a:prstGeom prst="borderCallout1">
          <a:avLst>
            <a:gd name="adj1" fmla="val 18750"/>
            <a:gd name="adj2" fmla="val -8333"/>
            <a:gd name="adj3" fmla="val 166072"/>
            <a:gd name="adj4" fmla="val -28656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>
              <a:solidFill>
                <a:srgbClr val="FF0000"/>
              </a:solidFill>
              <a:effectLst/>
            </a:rPr>
            <a:t>Control</a:t>
          </a:r>
          <a:r>
            <a:rPr kumimoji="1" lang="ja-JP" altLang="en-US" sz="1200" b="1">
              <a:solidFill>
                <a:srgbClr val="FF0000"/>
              </a:solidFill>
              <a:effectLst/>
            </a:rPr>
            <a:t> </a:t>
          </a:r>
          <a:r>
            <a:rPr kumimoji="1" lang="en-US" altLang="ja-JP" sz="1200" b="1">
              <a:solidFill>
                <a:srgbClr val="FF0000"/>
              </a:solidFill>
              <a:effectLst/>
            </a:rPr>
            <a:t>Panel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  <xdr:oneCellAnchor>
    <xdr:from>
      <xdr:col>9</xdr:col>
      <xdr:colOff>219075</xdr:colOff>
      <xdr:row>15</xdr:row>
      <xdr:rowOff>142875</xdr:rowOff>
    </xdr:from>
    <xdr:ext cx="333375" cy="3524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6924675" y="365760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②</a:t>
          </a:r>
        </a:p>
      </xdr:txBody>
    </xdr:sp>
    <xdr:clientData/>
  </xdr:oneCellAnchor>
  <xdr:oneCellAnchor>
    <xdr:from>
      <xdr:col>7</xdr:col>
      <xdr:colOff>247650</xdr:colOff>
      <xdr:row>10</xdr:row>
      <xdr:rowOff>123825</xdr:rowOff>
    </xdr:from>
    <xdr:ext cx="333375" cy="3524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5581650" y="243840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③</a:t>
          </a:r>
        </a:p>
      </xdr:txBody>
    </xdr:sp>
    <xdr:clientData/>
  </xdr:oneCellAnchor>
  <xdr:twoCellAnchor>
    <xdr:from>
      <xdr:col>10</xdr:col>
      <xdr:colOff>85725</xdr:colOff>
      <xdr:row>9</xdr:row>
      <xdr:rowOff>142876</xdr:rowOff>
    </xdr:from>
    <xdr:to>
      <xdr:col>12</xdr:col>
      <xdr:colOff>85725</xdr:colOff>
      <xdr:row>10</xdr:row>
      <xdr:rowOff>171451</xdr:rowOff>
    </xdr:to>
    <xdr:sp macro="" textlink="">
      <xdr:nvSpPr>
        <xdr:cNvPr id="10" name="吹き出し: 線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477125" y="2219326"/>
          <a:ext cx="1371600" cy="266700"/>
        </a:xfrm>
        <a:prstGeom prst="borderCallout1">
          <a:avLst>
            <a:gd name="adj1" fmla="val 18750"/>
            <a:gd name="adj2" fmla="val -8333"/>
            <a:gd name="adj3" fmla="val 166072"/>
            <a:gd name="adj4" fmla="val -28656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 baseline="0">
              <a:solidFill>
                <a:srgbClr val="FF0000"/>
              </a:solidFill>
              <a:effectLst/>
            </a:rPr>
            <a:t>Total Time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10</xdr:col>
      <xdr:colOff>66675</xdr:colOff>
      <xdr:row>12</xdr:row>
      <xdr:rowOff>57151</xdr:rowOff>
    </xdr:from>
    <xdr:to>
      <xdr:col>12</xdr:col>
      <xdr:colOff>66675</xdr:colOff>
      <xdr:row>13</xdr:row>
      <xdr:rowOff>85726</xdr:rowOff>
    </xdr:to>
    <xdr:sp macro="" textlink="">
      <xdr:nvSpPr>
        <xdr:cNvPr id="11" name="吹き出し: 線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458075" y="2847976"/>
          <a:ext cx="1371600" cy="266700"/>
        </a:xfrm>
        <a:prstGeom prst="borderCallout1">
          <a:avLst>
            <a:gd name="adj1" fmla="val 18750"/>
            <a:gd name="adj2" fmla="val -8333"/>
            <a:gd name="adj3" fmla="val 148215"/>
            <a:gd name="adj4" fmla="val -28656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>
              <a:solidFill>
                <a:srgbClr val="FF0000"/>
              </a:solidFill>
              <a:effectLst/>
            </a:rPr>
            <a:t>Lap</a:t>
          </a:r>
          <a:r>
            <a:rPr kumimoji="1" lang="en-US" altLang="ja-JP" sz="1200" b="1" baseline="0">
              <a:solidFill>
                <a:srgbClr val="FF0000"/>
              </a:solidFill>
              <a:effectLst/>
            </a:rPr>
            <a:t> Time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10</xdr:col>
      <xdr:colOff>85725</xdr:colOff>
      <xdr:row>13</xdr:row>
      <xdr:rowOff>219076</xdr:rowOff>
    </xdr:from>
    <xdr:to>
      <xdr:col>12</xdr:col>
      <xdr:colOff>85725</xdr:colOff>
      <xdr:row>15</xdr:row>
      <xdr:rowOff>1</xdr:rowOff>
    </xdr:to>
    <xdr:sp macro="" textlink="">
      <xdr:nvSpPr>
        <xdr:cNvPr id="12" name="吹き出し: 線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477125" y="3248026"/>
          <a:ext cx="1371600" cy="266700"/>
        </a:xfrm>
        <a:prstGeom prst="borderCallout1">
          <a:avLst>
            <a:gd name="adj1" fmla="val 18750"/>
            <a:gd name="adj2" fmla="val -8333"/>
            <a:gd name="adj3" fmla="val 148215"/>
            <a:gd name="adj4" fmla="val -28656"/>
          </a:avLst>
        </a:prstGeom>
        <a:solidFill>
          <a:srgbClr val="FFFF00"/>
        </a:solidFill>
        <a:ln w="19050"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 b="1">
              <a:solidFill>
                <a:srgbClr val="FF0000"/>
              </a:solidFill>
              <a:effectLst/>
            </a:rPr>
            <a:t>Second Type</a:t>
          </a:r>
          <a:endParaRPr kumimoji="1" lang="ja-JP" altLang="en-US" sz="1200" b="1">
            <a:solidFill>
              <a:srgbClr val="FF0000"/>
            </a:solidFill>
            <a:effectLst/>
          </a:endParaRPr>
        </a:p>
      </xdr:txBody>
    </xdr:sp>
    <xdr:clientData/>
  </xdr:twoCellAnchor>
  <xdr:oneCellAnchor>
    <xdr:from>
      <xdr:col>7</xdr:col>
      <xdr:colOff>247650</xdr:colOff>
      <xdr:row>13</xdr:row>
      <xdr:rowOff>228600</xdr:rowOff>
    </xdr:from>
    <xdr:ext cx="333375" cy="352425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5581650" y="325755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④</a:t>
          </a:r>
        </a:p>
      </xdr:txBody>
    </xdr:sp>
    <xdr:clientData/>
  </xdr:oneCellAnchor>
  <xdr:twoCellAnchor editAs="oneCell">
    <xdr:from>
      <xdr:col>3</xdr:col>
      <xdr:colOff>95250</xdr:colOff>
      <xdr:row>14</xdr:row>
      <xdr:rowOff>228600</xdr:rowOff>
    </xdr:from>
    <xdr:to>
      <xdr:col>5</xdr:col>
      <xdr:colOff>142875</xdr:colOff>
      <xdr:row>19</xdr:row>
      <xdr:rowOff>28575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10969" r="55262" b="44311"/>
        <a:stretch/>
      </xdr:blipFill>
      <xdr:spPr>
        <a:xfrm>
          <a:off x="2581275" y="3390900"/>
          <a:ext cx="1419225" cy="10096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4</xdr:col>
      <xdr:colOff>514350</xdr:colOff>
      <xdr:row>17</xdr:row>
      <xdr:rowOff>152400</xdr:rowOff>
    </xdr:from>
    <xdr:ext cx="333375" cy="352425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3686175" y="402907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⑤</a:t>
          </a:r>
        </a:p>
      </xdr:txBody>
    </xdr:sp>
    <xdr:clientData/>
  </xdr:oneCellAnchor>
  <xdr:oneCellAnchor>
    <xdr:from>
      <xdr:col>9</xdr:col>
      <xdr:colOff>285750</xdr:colOff>
      <xdr:row>18</xdr:row>
      <xdr:rowOff>152400</xdr:rowOff>
    </xdr:from>
    <xdr:ext cx="333375" cy="352425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6991350" y="439102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⑥</a:t>
          </a:r>
        </a:p>
      </xdr:txBody>
    </xdr:sp>
    <xdr:clientData/>
  </xdr:oneCellAnchor>
  <xdr:twoCellAnchor>
    <xdr:from>
      <xdr:col>4</xdr:col>
      <xdr:colOff>342900</xdr:colOff>
      <xdr:row>11</xdr:row>
      <xdr:rowOff>219075</xdr:rowOff>
    </xdr:from>
    <xdr:to>
      <xdr:col>5</xdr:col>
      <xdr:colOff>533400</xdr:colOff>
      <xdr:row>15</xdr:row>
      <xdr:rowOff>142875</xdr:rowOff>
    </xdr:to>
    <xdr:sp macro="" textlink="">
      <xdr:nvSpPr>
        <xdr:cNvPr id="18" name="矢印: 二方向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 rot="10800000">
          <a:off x="3514725" y="2667000"/>
          <a:ext cx="876300" cy="876300"/>
        </a:xfrm>
        <a:prstGeom prst="leftUpArrow">
          <a:avLst>
            <a:gd name="adj1" fmla="val 11956"/>
            <a:gd name="adj2" fmla="val 25000"/>
            <a:gd name="adj3" fmla="val 26087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3</xdr:col>
      <xdr:colOff>628650</xdr:colOff>
      <xdr:row>11</xdr:row>
      <xdr:rowOff>0</xdr:rowOff>
    </xdr:from>
    <xdr:ext cx="910870" cy="78124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3114675" y="2447925"/>
          <a:ext cx="910870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1100"/>
            <a:t>Will</a:t>
          </a:r>
          <a:r>
            <a:rPr kumimoji="1" lang="en-US" altLang="ja-JP" sz="1100" baseline="0"/>
            <a:t> be </a:t>
          </a:r>
          <a:r>
            <a:rPr kumimoji="1" lang="en-US" altLang="ja-JP" sz="1100"/>
            <a:t>Changed when starting</a:t>
          </a:r>
          <a:endParaRPr kumimoji="1" lang="ja-JP" altLang="en-US" sz="1100"/>
        </a:p>
      </xdr:txBody>
    </xdr:sp>
    <xdr:clientData/>
  </xdr:oneCellAnchor>
  <xdr:oneCellAnchor>
    <xdr:from>
      <xdr:col>7</xdr:col>
      <xdr:colOff>361950</xdr:colOff>
      <xdr:row>3</xdr:row>
      <xdr:rowOff>104775</xdr:rowOff>
    </xdr:from>
    <xdr:ext cx="333375" cy="3524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5591175" y="64770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⑥</a:t>
          </a:r>
        </a:p>
      </xdr:txBody>
    </xdr:sp>
    <xdr:clientData/>
  </xdr:oneCellAnchor>
  <xdr:oneCellAnchor>
    <xdr:from>
      <xdr:col>7</xdr:col>
      <xdr:colOff>295275</xdr:colOff>
      <xdr:row>17</xdr:row>
      <xdr:rowOff>57150</xdr:rowOff>
    </xdr:from>
    <xdr:ext cx="333375" cy="3524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629275" y="4057650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⑦</a:t>
          </a:r>
        </a:p>
      </xdr:txBody>
    </xdr:sp>
    <xdr:clientData/>
  </xdr:oneCellAnchor>
  <xdr:oneCellAnchor>
    <xdr:from>
      <xdr:col>7</xdr:col>
      <xdr:colOff>361950</xdr:colOff>
      <xdr:row>19</xdr:row>
      <xdr:rowOff>171450</xdr:rowOff>
    </xdr:from>
    <xdr:ext cx="333375" cy="352425"/>
    <xdr:sp macro="" textlink="">
      <xdr:nvSpPr>
        <xdr:cNvPr id="22" name="テキスト ボックス 12">
          <a:extLst>
            <a:ext uri="{FF2B5EF4-FFF2-40B4-BE49-F238E27FC236}">
              <a16:creationId xmlns:a16="http://schemas.microsoft.com/office/drawing/2014/main" id="{65FCF1FB-8EE4-4182-AFE8-961170A1FF47}"/>
            </a:ext>
          </a:extLst>
        </xdr:cNvPr>
        <xdr:cNvSpPr txBox="1"/>
      </xdr:nvSpPr>
      <xdr:spPr>
        <a:xfrm>
          <a:off x="5695950" y="465772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⑧</a:t>
          </a:r>
        </a:p>
      </xdr:txBody>
    </xdr:sp>
    <xdr:clientData/>
  </xdr:oneCellAnchor>
  <xdr:oneCellAnchor>
    <xdr:from>
      <xdr:col>9</xdr:col>
      <xdr:colOff>628650</xdr:colOff>
      <xdr:row>3</xdr:row>
      <xdr:rowOff>123825</xdr:rowOff>
    </xdr:from>
    <xdr:ext cx="333375" cy="352425"/>
    <xdr:sp macro="" textlink="">
      <xdr:nvSpPr>
        <xdr:cNvPr id="23" name="テキスト ボックス 12">
          <a:extLst>
            <a:ext uri="{FF2B5EF4-FFF2-40B4-BE49-F238E27FC236}">
              <a16:creationId xmlns:a16="http://schemas.microsoft.com/office/drawing/2014/main" id="{31721EEE-04D8-4DEA-9180-EDD6FC192A2D}"/>
            </a:ext>
          </a:extLst>
        </xdr:cNvPr>
        <xdr:cNvSpPr txBox="1"/>
      </xdr:nvSpPr>
      <xdr:spPr>
        <a:xfrm>
          <a:off x="7334250" y="771525"/>
          <a:ext cx="333375" cy="352425"/>
        </a:xfrm>
        <a:prstGeom prst="rect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36000" tIns="36000" rIns="36000" bIns="36000" rtlCol="0" anchor="ctr">
          <a:noAutofit/>
        </a:bodyPr>
        <a:lstStyle/>
        <a:p>
          <a:pPr algn="ctr"/>
          <a:r>
            <a:rPr kumimoji="1" lang="ja-JP" altLang="en-US" sz="2000" b="1">
              <a:solidFill>
                <a:srgbClr val="FF0000"/>
              </a:solidFill>
            </a:rPr>
            <a:t>⑨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Kazuyuki.Igeta@nobelbicar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102"/>
  <sheetViews>
    <sheetView showGridLines="0" tabSelected="1" topLeftCell="B1" zoomScale="85" zoomScaleNormal="85" workbookViewId="0">
      <selection activeCell="E4" sqref="E4"/>
    </sheetView>
  </sheetViews>
  <sheetFormatPr defaultRowHeight="18.75"/>
  <cols>
    <col min="1" max="1" width="19.625" style="1" customWidth="1"/>
    <col min="2" max="2" width="4.625" style="1" customWidth="1"/>
    <col min="3" max="3" width="11.25" style="2" customWidth="1"/>
    <col min="4" max="4" width="9" style="2"/>
    <col min="6" max="6" width="9.75" customWidth="1"/>
    <col min="7" max="7" width="9.75" bestFit="1" customWidth="1"/>
  </cols>
  <sheetData>
    <row r="1" spans="1:35" ht="36.75" customHeight="1">
      <c r="A1" s="54" t="s">
        <v>18</v>
      </c>
      <c r="B1" s="3"/>
      <c r="C1" s="4"/>
      <c r="D1" s="5"/>
      <c r="E1" s="5"/>
      <c r="F1" s="5"/>
      <c r="G1" s="5"/>
      <c r="H1" s="5"/>
      <c r="I1" s="5"/>
      <c r="J1" s="5"/>
      <c r="K1" s="5"/>
      <c r="L1" s="5"/>
      <c r="M1" s="22" t="s">
        <v>37</v>
      </c>
      <c r="N1" s="19"/>
      <c r="O1" s="5"/>
      <c r="P1" s="20" t="s">
        <v>19</v>
      </c>
      <c r="Q1" s="21" t="s">
        <v>58</v>
      </c>
      <c r="Z1" s="14" t="s">
        <v>44</v>
      </c>
      <c r="AA1" s="14"/>
      <c r="AB1" s="14"/>
      <c r="AC1" s="14"/>
      <c r="AD1" s="14"/>
      <c r="AE1" s="14"/>
      <c r="AF1" s="14"/>
      <c r="AG1" s="14"/>
      <c r="AH1" s="14"/>
      <c r="AI1" s="14"/>
    </row>
    <row r="2" spans="1:35">
      <c r="A2" s="6" t="s">
        <v>1</v>
      </c>
      <c r="B2" s="6" t="s">
        <v>0</v>
      </c>
      <c r="C2" s="7" t="s">
        <v>45</v>
      </c>
      <c r="D2" s="18" t="s">
        <v>46</v>
      </c>
      <c r="E2" s="52">
        <v>100</v>
      </c>
      <c r="F2" s="53" t="s">
        <v>8</v>
      </c>
      <c r="Q2" s="61"/>
      <c r="Z2" s="15"/>
      <c r="AA2" s="15" t="s">
        <v>15</v>
      </c>
      <c r="AB2" s="15" t="s">
        <v>16</v>
      </c>
      <c r="AC2" s="60" t="s">
        <v>51</v>
      </c>
      <c r="AD2" s="60" t="s">
        <v>52</v>
      </c>
      <c r="AE2" s="60" t="s">
        <v>53</v>
      </c>
      <c r="AF2" s="60" t="s">
        <v>54</v>
      </c>
      <c r="AG2" s="60" t="s">
        <v>56</v>
      </c>
      <c r="AH2" s="60" t="s">
        <v>57</v>
      </c>
      <c r="AI2" s="60" t="s">
        <v>55</v>
      </c>
    </row>
    <row r="3" spans="1:35">
      <c r="A3" s="8"/>
      <c r="B3" s="8">
        <v>1</v>
      </c>
      <c r="C3" s="48">
        <v>1.3333333333333333</v>
      </c>
      <c r="D3" s="48">
        <v>1.3333333333333333</v>
      </c>
      <c r="E3" s="50"/>
      <c r="Z3" s="14"/>
      <c r="AA3" s="16">
        <f>IF(C3&lt;&gt;"",$G$5,"")</f>
        <v>2.2058823529411762</v>
      </c>
      <c r="AB3" s="16">
        <f t="shared" ref="AB3:AB34" si="0">$G$6</f>
        <v>2.1666666666666714</v>
      </c>
      <c r="AC3" s="16">
        <f>IF(AA3-$G$12&gt;0,AA3-$G$12,"")</f>
        <v>1.7604259885809614</v>
      </c>
      <c r="AD3" s="16">
        <f>AA3+$G$12</f>
        <v>2.6513387173013911</v>
      </c>
      <c r="AE3" s="16"/>
      <c r="AF3" s="16"/>
      <c r="AG3" s="16">
        <f>$AA$3+2.66*$AF$4</f>
        <v>8.1199490196078443</v>
      </c>
      <c r="AH3" s="16" t="str">
        <f>IF($AA$3-2.66*$AF$4&gt;0,$AA$3-2.66*$AF$4,"")</f>
        <v/>
      </c>
      <c r="AI3" s="16">
        <f>3.27*$AF$4</f>
        <v>7.2703000000000007</v>
      </c>
    </row>
    <row r="4" spans="1:35">
      <c r="A4" s="8"/>
      <c r="B4" s="8">
        <v>2</v>
      </c>
      <c r="C4" s="48">
        <v>3.6666666666666665</v>
      </c>
      <c r="D4" s="48">
        <v>2.333333333333333</v>
      </c>
      <c r="E4" s="51"/>
      <c r="F4" s="11" t="s">
        <v>10</v>
      </c>
      <c r="G4" s="44">
        <f>COUNT(C3:C101)</f>
        <v>51</v>
      </c>
      <c r="H4" s="13" t="s">
        <v>11</v>
      </c>
      <c r="Z4" s="14"/>
      <c r="AA4" s="16">
        <f t="shared" ref="AA4:AA67" si="1">$G$5</f>
        <v>2.2058823529411762</v>
      </c>
      <c r="AB4" s="16">
        <f t="shared" si="0"/>
        <v>2.1666666666666714</v>
      </c>
      <c r="AC4" s="16">
        <f t="shared" ref="AC4:AC67" si="2">IF(AA4-$G$12&gt;0,AA4-$G$12,"")</f>
        <v>1.7604259885809614</v>
      </c>
      <c r="AD4" s="16">
        <f>AA4+$G$12</f>
        <v>2.6513387173013911</v>
      </c>
      <c r="AE4" s="16">
        <f>IF(C4&lt;&gt;"",ABS(C3-C4),"")</f>
        <v>2.333333333333333</v>
      </c>
      <c r="AF4" s="16">
        <f>AVERAGE($AE$4:$AE$102)</f>
        <v>2.2233333333333336</v>
      </c>
      <c r="AG4" s="16">
        <f t="shared" ref="AG4:AG67" si="3">$AA$3+2.66*$AF$4</f>
        <v>8.1199490196078443</v>
      </c>
      <c r="AH4" s="16" t="str">
        <f t="shared" ref="AH4:AH67" si="4">IF($AA$3-2.66*$AF$4&gt;0,$AA$3-2.66*$AF$4,"")</f>
        <v/>
      </c>
      <c r="AI4" s="16">
        <f t="shared" ref="AI4:AI67" si="5">3.27*$AF$4</f>
        <v>7.2703000000000007</v>
      </c>
    </row>
    <row r="5" spans="1:35">
      <c r="A5" s="8"/>
      <c r="B5" s="8">
        <v>3</v>
      </c>
      <c r="C5" s="48">
        <v>5.333333333333333</v>
      </c>
      <c r="D5" s="48">
        <v>1.6666666666666665</v>
      </c>
      <c r="E5" s="51"/>
      <c r="F5" s="12" t="s">
        <v>2</v>
      </c>
      <c r="G5" s="45">
        <f>AVERAGE(D3:D101)</f>
        <v>2.2058823529411762</v>
      </c>
      <c r="H5" s="13" t="s">
        <v>9</v>
      </c>
      <c r="Z5" s="14"/>
      <c r="AA5" s="16">
        <f t="shared" si="1"/>
        <v>2.2058823529411762</v>
      </c>
      <c r="AB5" s="16">
        <f t="shared" si="0"/>
        <v>2.1666666666666714</v>
      </c>
      <c r="AC5" s="16">
        <f t="shared" si="2"/>
        <v>1.7604259885809614</v>
      </c>
      <c r="AD5" s="16">
        <f t="shared" ref="AD5:AD68" si="6">AA5+$G$12</f>
        <v>2.6513387173013911</v>
      </c>
      <c r="AE5" s="16">
        <f t="shared" ref="AE5:AE68" si="7">IF(C5&lt;&gt;"",ABS(C4-C5),"")</f>
        <v>1.6666666666666665</v>
      </c>
      <c r="AF5" s="16">
        <f t="shared" ref="AF5:AF68" si="8">AVERAGE($AE$4:$AE$102)</f>
        <v>2.2233333333333336</v>
      </c>
      <c r="AG5" s="16">
        <f t="shared" si="3"/>
        <v>8.1199490196078443</v>
      </c>
      <c r="AH5" s="16" t="str">
        <f t="shared" si="4"/>
        <v/>
      </c>
      <c r="AI5" s="16">
        <f t="shared" si="5"/>
        <v>7.2703000000000007</v>
      </c>
    </row>
    <row r="6" spans="1:35">
      <c r="A6" s="8"/>
      <c r="B6" s="8">
        <v>4</v>
      </c>
      <c r="C6" s="48">
        <v>7.166666666666667</v>
      </c>
      <c r="D6" s="48">
        <v>1.8333333333333339</v>
      </c>
      <c r="E6" s="51"/>
      <c r="F6" s="12" t="s">
        <v>16</v>
      </c>
      <c r="G6" s="45">
        <f>MEDIAN(D3:D102)</f>
        <v>2.1666666666666714</v>
      </c>
      <c r="H6" s="13" t="s">
        <v>43</v>
      </c>
      <c r="Z6" s="14"/>
      <c r="AA6" s="16">
        <f t="shared" si="1"/>
        <v>2.2058823529411762</v>
      </c>
      <c r="AB6" s="16">
        <f t="shared" si="0"/>
        <v>2.1666666666666714</v>
      </c>
      <c r="AC6" s="16">
        <f t="shared" si="2"/>
        <v>1.7604259885809614</v>
      </c>
      <c r="AD6" s="16">
        <f t="shared" si="6"/>
        <v>2.6513387173013911</v>
      </c>
      <c r="AE6" s="16">
        <f t="shared" si="7"/>
        <v>1.8333333333333339</v>
      </c>
      <c r="AF6" s="16">
        <f t="shared" si="8"/>
        <v>2.2233333333333336</v>
      </c>
      <c r="AG6" s="16">
        <f t="shared" si="3"/>
        <v>8.1199490196078443</v>
      </c>
      <c r="AH6" s="16" t="str">
        <f t="shared" si="4"/>
        <v/>
      </c>
      <c r="AI6" s="16">
        <f t="shared" si="5"/>
        <v>7.2703000000000007</v>
      </c>
    </row>
    <row r="7" spans="1:35">
      <c r="A7" s="8"/>
      <c r="B7" s="8">
        <v>5</v>
      </c>
      <c r="C7" s="48">
        <v>9.1666666666666661</v>
      </c>
      <c r="D7" s="48">
        <v>1.9999999999999991</v>
      </c>
      <c r="E7" s="51"/>
      <c r="F7" s="11" t="s">
        <v>3</v>
      </c>
      <c r="G7" s="46">
        <f>MODE(D3:D101)</f>
        <v>2.3333333333333286</v>
      </c>
      <c r="H7" s="13" t="s">
        <v>9</v>
      </c>
      <c r="Z7" s="14"/>
      <c r="AA7" s="16">
        <f t="shared" si="1"/>
        <v>2.2058823529411762</v>
      </c>
      <c r="AB7" s="16">
        <f t="shared" si="0"/>
        <v>2.1666666666666714</v>
      </c>
      <c r="AC7" s="16">
        <f t="shared" si="2"/>
        <v>1.7604259885809614</v>
      </c>
      <c r="AD7" s="16">
        <f t="shared" si="6"/>
        <v>2.6513387173013911</v>
      </c>
      <c r="AE7" s="16">
        <f t="shared" si="7"/>
        <v>1.9999999999999991</v>
      </c>
      <c r="AF7" s="16">
        <f t="shared" si="8"/>
        <v>2.2233333333333336</v>
      </c>
      <c r="AG7" s="16">
        <f t="shared" si="3"/>
        <v>8.1199490196078443</v>
      </c>
      <c r="AH7" s="16" t="str">
        <f t="shared" si="4"/>
        <v/>
      </c>
      <c r="AI7" s="16">
        <f t="shared" si="5"/>
        <v>7.2703000000000007</v>
      </c>
    </row>
    <row r="8" spans="1:35">
      <c r="A8" s="8"/>
      <c r="B8" s="8">
        <v>6</v>
      </c>
      <c r="C8" s="48">
        <v>12</v>
      </c>
      <c r="D8" s="48">
        <v>2.8333333333333339</v>
      </c>
      <c r="E8" s="51"/>
      <c r="F8" s="11" t="s">
        <v>4</v>
      </c>
      <c r="G8" s="47">
        <f>MIN(D3:D101)</f>
        <v>1.1666666666666679</v>
      </c>
      <c r="H8" s="13" t="s">
        <v>9</v>
      </c>
      <c r="Z8" s="14"/>
      <c r="AA8" s="16">
        <f t="shared" si="1"/>
        <v>2.2058823529411762</v>
      </c>
      <c r="AB8" s="16">
        <f t="shared" si="0"/>
        <v>2.1666666666666714</v>
      </c>
      <c r="AC8" s="16">
        <f t="shared" si="2"/>
        <v>1.7604259885809614</v>
      </c>
      <c r="AD8" s="16">
        <f t="shared" si="6"/>
        <v>2.6513387173013911</v>
      </c>
      <c r="AE8" s="16">
        <f t="shared" si="7"/>
        <v>2.8333333333333339</v>
      </c>
      <c r="AF8" s="16">
        <f t="shared" si="8"/>
        <v>2.2233333333333336</v>
      </c>
      <c r="AG8" s="16">
        <f t="shared" si="3"/>
        <v>8.1199490196078443</v>
      </c>
      <c r="AH8" s="16" t="str">
        <f t="shared" si="4"/>
        <v/>
      </c>
      <c r="AI8" s="16">
        <f t="shared" si="5"/>
        <v>7.2703000000000007</v>
      </c>
    </row>
    <row r="9" spans="1:35">
      <c r="A9" s="8"/>
      <c r="B9" s="8">
        <v>7</v>
      </c>
      <c r="C9" s="48">
        <v>14.5</v>
      </c>
      <c r="D9" s="48">
        <v>2.5</v>
      </c>
      <c r="E9" s="51"/>
      <c r="F9" s="11" t="s">
        <v>5</v>
      </c>
      <c r="G9" s="47">
        <f>MAX(D3:D101)</f>
        <v>3.8333333333333321</v>
      </c>
      <c r="H9" s="13" t="s">
        <v>9</v>
      </c>
      <c r="Z9" s="14"/>
      <c r="AA9" s="16">
        <f t="shared" si="1"/>
        <v>2.2058823529411762</v>
      </c>
      <c r="AB9" s="16">
        <f t="shared" si="0"/>
        <v>2.1666666666666714</v>
      </c>
      <c r="AC9" s="16">
        <f t="shared" si="2"/>
        <v>1.7604259885809614</v>
      </c>
      <c r="AD9" s="16">
        <f t="shared" si="6"/>
        <v>2.6513387173013911</v>
      </c>
      <c r="AE9" s="16">
        <f t="shared" si="7"/>
        <v>2.5</v>
      </c>
      <c r="AF9" s="16">
        <f t="shared" si="8"/>
        <v>2.2233333333333336</v>
      </c>
      <c r="AG9" s="16">
        <f t="shared" si="3"/>
        <v>8.1199490196078443</v>
      </c>
      <c r="AH9" s="16" t="str">
        <f t="shared" si="4"/>
        <v/>
      </c>
      <c r="AI9" s="16">
        <f t="shared" si="5"/>
        <v>7.2703000000000007</v>
      </c>
    </row>
    <row r="10" spans="1:35">
      <c r="A10" s="8"/>
      <c r="B10" s="8">
        <v>8</v>
      </c>
      <c r="C10" s="48">
        <v>17.666666666666668</v>
      </c>
      <c r="D10" s="48">
        <v>3.1666666666666679</v>
      </c>
      <c r="E10" s="51"/>
      <c r="F10" s="11" t="s">
        <v>6</v>
      </c>
      <c r="G10" s="44">
        <f>E2/G5</f>
        <v>45.333333333333336</v>
      </c>
      <c r="H10" s="13" t="s">
        <v>13</v>
      </c>
      <c r="Z10" s="14"/>
      <c r="AA10" s="16">
        <f t="shared" si="1"/>
        <v>2.2058823529411762</v>
      </c>
      <c r="AB10" s="16">
        <f t="shared" si="0"/>
        <v>2.1666666666666714</v>
      </c>
      <c r="AC10" s="16">
        <f t="shared" si="2"/>
        <v>1.7604259885809614</v>
      </c>
      <c r="AD10" s="16">
        <f t="shared" si="6"/>
        <v>2.6513387173013911</v>
      </c>
      <c r="AE10" s="16">
        <f t="shared" si="7"/>
        <v>3.1666666666666679</v>
      </c>
      <c r="AF10" s="16">
        <f t="shared" si="8"/>
        <v>2.2233333333333336</v>
      </c>
      <c r="AG10" s="16">
        <f t="shared" si="3"/>
        <v>8.1199490196078443</v>
      </c>
      <c r="AH10" s="16" t="str">
        <f t="shared" si="4"/>
        <v/>
      </c>
      <c r="AI10" s="16">
        <f t="shared" si="5"/>
        <v>7.2703000000000007</v>
      </c>
    </row>
    <row r="11" spans="1:35">
      <c r="A11" s="8"/>
      <c r="B11" s="8">
        <v>9</v>
      </c>
      <c r="C11" s="48">
        <v>20.5</v>
      </c>
      <c r="D11" s="48">
        <v>2.8333333333333321</v>
      </c>
      <c r="E11" s="51"/>
      <c r="F11" s="11" t="s">
        <v>7</v>
      </c>
      <c r="G11" s="44">
        <f>G10*60</f>
        <v>2720</v>
      </c>
      <c r="H11" s="13" t="s">
        <v>14</v>
      </c>
      <c r="Z11" s="14"/>
      <c r="AA11" s="16">
        <f t="shared" si="1"/>
        <v>2.2058823529411762</v>
      </c>
      <c r="AB11" s="16">
        <f t="shared" si="0"/>
        <v>2.1666666666666714</v>
      </c>
      <c r="AC11" s="16">
        <f t="shared" si="2"/>
        <v>1.7604259885809614</v>
      </c>
      <c r="AD11" s="16">
        <f t="shared" si="6"/>
        <v>2.6513387173013911</v>
      </c>
      <c r="AE11" s="16">
        <f t="shared" si="7"/>
        <v>2.8333333333333321</v>
      </c>
      <c r="AF11" s="16">
        <f t="shared" si="8"/>
        <v>2.2233333333333336</v>
      </c>
      <c r="AG11" s="16">
        <f t="shared" si="3"/>
        <v>8.1199490196078443</v>
      </c>
      <c r="AH11" s="16" t="str">
        <f t="shared" si="4"/>
        <v/>
      </c>
      <c r="AI11" s="16">
        <f t="shared" si="5"/>
        <v>7.2703000000000007</v>
      </c>
    </row>
    <row r="12" spans="1:35">
      <c r="A12" s="8"/>
      <c r="B12" s="8">
        <v>10</v>
      </c>
      <c r="C12" s="48">
        <v>21.666666666666668</v>
      </c>
      <c r="D12" s="48">
        <v>1.1666666666666679</v>
      </c>
      <c r="E12" s="51"/>
      <c r="F12" s="11" t="s">
        <v>17</v>
      </c>
      <c r="G12" s="49">
        <f>_xlfn.STDEV.S(D3:D101)</f>
        <v>0.4454563643602148</v>
      </c>
      <c r="H12" s="13" t="s">
        <v>12</v>
      </c>
      <c r="Z12" s="14"/>
      <c r="AA12" s="16">
        <f t="shared" si="1"/>
        <v>2.2058823529411762</v>
      </c>
      <c r="AB12" s="16">
        <f t="shared" si="0"/>
        <v>2.1666666666666714</v>
      </c>
      <c r="AC12" s="16">
        <f t="shared" si="2"/>
        <v>1.7604259885809614</v>
      </c>
      <c r="AD12" s="16">
        <f t="shared" si="6"/>
        <v>2.6513387173013911</v>
      </c>
      <c r="AE12" s="16">
        <f t="shared" si="7"/>
        <v>1.1666666666666679</v>
      </c>
      <c r="AF12" s="16">
        <f t="shared" si="8"/>
        <v>2.2233333333333336</v>
      </c>
      <c r="AG12" s="16">
        <f t="shared" si="3"/>
        <v>8.1199490196078443</v>
      </c>
      <c r="AH12" s="16" t="str">
        <f t="shared" si="4"/>
        <v/>
      </c>
      <c r="AI12" s="16">
        <f t="shared" si="5"/>
        <v>7.2703000000000007</v>
      </c>
    </row>
    <row r="13" spans="1:35">
      <c r="A13" s="8"/>
      <c r="B13" s="8">
        <v>11</v>
      </c>
      <c r="C13" s="48">
        <v>24.166666666666668</v>
      </c>
      <c r="D13" s="48">
        <v>2.5</v>
      </c>
      <c r="E13" s="51"/>
      <c r="Z13" s="14"/>
      <c r="AA13" s="16">
        <f t="shared" si="1"/>
        <v>2.2058823529411762</v>
      </c>
      <c r="AB13" s="16">
        <f t="shared" si="0"/>
        <v>2.1666666666666714</v>
      </c>
      <c r="AC13" s="16">
        <f t="shared" si="2"/>
        <v>1.7604259885809614</v>
      </c>
      <c r="AD13" s="16">
        <f t="shared" si="6"/>
        <v>2.6513387173013911</v>
      </c>
      <c r="AE13" s="16">
        <f t="shared" si="7"/>
        <v>2.5</v>
      </c>
      <c r="AF13" s="16">
        <f t="shared" si="8"/>
        <v>2.2233333333333336</v>
      </c>
      <c r="AG13" s="16">
        <f t="shared" si="3"/>
        <v>8.1199490196078443</v>
      </c>
      <c r="AH13" s="16" t="str">
        <f t="shared" si="4"/>
        <v/>
      </c>
      <c r="AI13" s="16">
        <f t="shared" si="5"/>
        <v>7.2703000000000007</v>
      </c>
    </row>
    <row r="14" spans="1:35">
      <c r="A14" s="8"/>
      <c r="B14" s="8">
        <v>12</v>
      </c>
      <c r="C14" s="48">
        <v>28</v>
      </c>
      <c r="D14" s="48">
        <v>3.8333333333333321</v>
      </c>
      <c r="E14" s="51"/>
      <c r="G14" s="10"/>
      <c r="H14" s="9"/>
      <c r="Z14" s="14"/>
      <c r="AA14" s="16">
        <f t="shared" si="1"/>
        <v>2.2058823529411762</v>
      </c>
      <c r="AB14" s="16">
        <f t="shared" si="0"/>
        <v>2.1666666666666714</v>
      </c>
      <c r="AC14" s="16">
        <f t="shared" si="2"/>
        <v>1.7604259885809614</v>
      </c>
      <c r="AD14" s="16">
        <f t="shared" si="6"/>
        <v>2.6513387173013911</v>
      </c>
      <c r="AE14" s="16">
        <f t="shared" si="7"/>
        <v>3.8333333333333321</v>
      </c>
      <c r="AF14" s="16">
        <f t="shared" si="8"/>
        <v>2.2233333333333336</v>
      </c>
      <c r="AG14" s="16">
        <f t="shared" si="3"/>
        <v>8.1199490196078443</v>
      </c>
      <c r="AH14" s="16" t="str">
        <f t="shared" si="4"/>
        <v/>
      </c>
      <c r="AI14" s="16">
        <f t="shared" si="5"/>
        <v>7.2703000000000007</v>
      </c>
    </row>
    <row r="15" spans="1:35">
      <c r="A15" s="8"/>
      <c r="B15" s="8">
        <v>13</v>
      </c>
      <c r="C15" s="48">
        <v>29.666666666666668</v>
      </c>
      <c r="D15" s="48">
        <v>1.6666666666666679</v>
      </c>
      <c r="E15" s="51"/>
      <c r="G15" s="10"/>
      <c r="H15" s="9"/>
      <c r="Z15" s="14"/>
      <c r="AA15" s="16">
        <f t="shared" si="1"/>
        <v>2.2058823529411762</v>
      </c>
      <c r="AB15" s="16">
        <f t="shared" si="0"/>
        <v>2.1666666666666714</v>
      </c>
      <c r="AC15" s="16">
        <f t="shared" si="2"/>
        <v>1.7604259885809614</v>
      </c>
      <c r="AD15" s="16">
        <f t="shared" si="6"/>
        <v>2.6513387173013911</v>
      </c>
      <c r="AE15" s="16">
        <f t="shared" si="7"/>
        <v>1.6666666666666679</v>
      </c>
      <c r="AF15" s="16">
        <f t="shared" si="8"/>
        <v>2.2233333333333336</v>
      </c>
      <c r="AG15" s="16">
        <f t="shared" si="3"/>
        <v>8.1199490196078443</v>
      </c>
      <c r="AH15" s="16" t="str">
        <f t="shared" si="4"/>
        <v/>
      </c>
      <c r="AI15" s="16">
        <f t="shared" si="5"/>
        <v>7.2703000000000007</v>
      </c>
    </row>
    <row r="16" spans="1:35">
      <c r="A16" s="8"/>
      <c r="B16" s="8">
        <v>14</v>
      </c>
      <c r="C16" s="48">
        <v>31.833333333333332</v>
      </c>
      <c r="D16" s="48">
        <v>2.1666666666666643</v>
      </c>
      <c r="E16" s="51"/>
      <c r="Z16" s="14"/>
      <c r="AA16" s="16">
        <f t="shared" si="1"/>
        <v>2.2058823529411762</v>
      </c>
      <c r="AB16" s="16">
        <f t="shared" si="0"/>
        <v>2.1666666666666714</v>
      </c>
      <c r="AC16" s="16">
        <f t="shared" si="2"/>
        <v>1.7604259885809614</v>
      </c>
      <c r="AD16" s="16">
        <f t="shared" si="6"/>
        <v>2.6513387173013911</v>
      </c>
      <c r="AE16" s="16">
        <f t="shared" si="7"/>
        <v>2.1666666666666643</v>
      </c>
      <c r="AF16" s="16">
        <f t="shared" si="8"/>
        <v>2.2233333333333336</v>
      </c>
      <c r="AG16" s="16">
        <f t="shared" si="3"/>
        <v>8.1199490196078443</v>
      </c>
      <c r="AH16" s="16" t="str">
        <f t="shared" si="4"/>
        <v/>
      </c>
      <c r="AI16" s="16">
        <f t="shared" si="5"/>
        <v>7.2703000000000007</v>
      </c>
    </row>
    <row r="17" spans="1:35">
      <c r="A17" s="8"/>
      <c r="B17" s="8">
        <v>15</v>
      </c>
      <c r="C17" s="48">
        <v>33.833333333333336</v>
      </c>
      <c r="D17" s="48">
        <v>2.0000000000000036</v>
      </c>
      <c r="E17" s="51"/>
      <c r="G17" s="10"/>
      <c r="H17" s="9"/>
      <c r="Z17" s="14"/>
      <c r="AA17" s="16">
        <f t="shared" si="1"/>
        <v>2.2058823529411762</v>
      </c>
      <c r="AB17" s="16">
        <f t="shared" si="0"/>
        <v>2.1666666666666714</v>
      </c>
      <c r="AC17" s="16">
        <f t="shared" si="2"/>
        <v>1.7604259885809614</v>
      </c>
      <c r="AD17" s="16">
        <f t="shared" si="6"/>
        <v>2.6513387173013911</v>
      </c>
      <c r="AE17" s="16">
        <f t="shared" si="7"/>
        <v>2.0000000000000036</v>
      </c>
      <c r="AF17" s="16">
        <f t="shared" si="8"/>
        <v>2.2233333333333336</v>
      </c>
      <c r="AG17" s="16">
        <f t="shared" si="3"/>
        <v>8.1199490196078443</v>
      </c>
      <c r="AH17" s="16" t="str">
        <f t="shared" si="4"/>
        <v/>
      </c>
      <c r="AI17" s="16">
        <f t="shared" si="5"/>
        <v>7.2703000000000007</v>
      </c>
    </row>
    <row r="18" spans="1:35">
      <c r="A18" s="8"/>
      <c r="B18" s="8">
        <v>16</v>
      </c>
      <c r="C18" s="48">
        <v>35.833333333333336</v>
      </c>
      <c r="D18" s="48">
        <v>2</v>
      </c>
      <c r="E18" s="51"/>
      <c r="G18" s="10"/>
      <c r="H18" s="9"/>
      <c r="Z18" s="14"/>
      <c r="AA18" s="16">
        <f t="shared" si="1"/>
        <v>2.2058823529411762</v>
      </c>
      <c r="AB18" s="16">
        <f t="shared" si="0"/>
        <v>2.1666666666666714</v>
      </c>
      <c r="AC18" s="16">
        <f t="shared" si="2"/>
        <v>1.7604259885809614</v>
      </c>
      <c r="AD18" s="16">
        <f t="shared" si="6"/>
        <v>2.6513387173013911</v>
      </c>
      <c r="AE18" s="16">
        <f t="shared" si="7"/>
        <v>2</v>
      </c>
      <c r="AF18" s="16">
        <f t="shared" si="8"/>
        <v>2.2233333333333336</v>
      </c>
      <c r="AG18" s="16">
        <f t="shared" si="3"/>
        <v>8.1199490196078443</v>
      </c>
      <c r="AH18" s="16" t="str">
        <f t="shared" si="4"/>
        <v/>
      </c>
      <c r="AI18" s="16">
        <f t="shared" si="5"/>
        <v>7.2703000000000007</v>
      </c>
    </row>
    <row r="19" spans="1:35">
      <c r="A19" s="8"/>
      <c r="B19" s="8">
        <v>17</v>
      </c>
      <c r="C19" s="48">
        <v>38.333333333333336</v>
      </c>
      <c r="D19" s="48">
        <v>2.5</v>
      </c>
      <c r="E19" s="51"/>
      <c r="Z19" s="14"/>
      <c r="AA19" s="16">
        <f t="shared" si="1"/>
        <v>2.2058823529411762</v>
      </c>
      <c r="AB19" s="16">
        <f t="shared" si="0"/>
        <v>2.1666666666666714</v>
      </c>
      <c r="AC19" s="16">
        <f t="shared" si="2"/>
        <v>1.7604259885809614</v>
      </c>
      <c r="AD19" s="16">
        <f t="shared" si="6"/>
        <v>2.6513387173013911</v>
      </c>
      <c r="AE19" s="16">
        <f t="shared" si="7"/>
        <v>2.5</v>
      </c>
      <c r="AF19" s="16">
        <f t="shared" si="8"/>
        <v>2.2233333333333336</v>
      </c>
      <c r="AG19" s="16">
        <f t="shared" si="3"/>
        <v>8.1199490196078443</v>
      </c>
      <c r="AH19" s="16" t="str">
        <f t="shared" si="4"/>
        <v/>
      </c>
      <c r="AI19" s="16">
        <f t="shared" si="5"/>
        <v>7.2703000000000007</v>
      </c>
    </row>
    <row r="20" spans="1:35">
      <c r="A20" s="8"/>
      <c r="B20" s="8">
        <v>18</v>
      </c>
      <c r="C20" s="48">
        <v>40.666666666666664</v>
      </c>
      <c r="D20" s="48">
        <v>2.3333333333333286</v>
      </c>
      <c r="E20" s="51"/>
      <c r="G20" s="10"/>
      <c r="H20" s="9"/>
      <c r="Z20" s="14"/>
      <c r="AA20" s="16">
        <f t="shared" si="1"/>
        <v>2.2058823529411762</v>
      </c>
      <c r="AB20" s="16">
        <f t="shared" si="0"/>
        <v>2.1666666666666714</v>
      </c>
      <c r="AC20" s="16">
        <f t="shared" si="2"/>
        <v>1.7604259885809614</v>
      </c>
      <c r="AD20" s="16">
        <f t="shared" si="6"/>
        <v>2.6513387173013911</v>
      </c>
      <c r="AE20" s="16">
        <f t="shared" si="7"/>
        <v>2.3333333333333286</v>
      </c>
      <c r="AF20" s="16">
        <f t="shared" si="8"/>
        <v>2.2233333333333336</v>
      </c>
      <c r="AG20" s="16">
        <f t="shared" si="3"/>
        <v>8.1199490196078443</v>
      </c>
      <c r="AH20" s="16" t="str">
        <f t="shared" si="4"/>
        <v/>
      </c>
      <c r="AI20" s="16">
        <f t="shared" si="5"/>
        <v>7.2703000000000007</v>
      </c>
    </row>
    <row r="21" spans="1:35">
      <c r="A21" s="8"/>
      <c r="B21" s="8">
        <v>19</v>
      </c>
      <c r="C21" s="48">
        <v>42.333333333333336</v>
      </c>
      <c r="D21" s="48">
        <v>1.6666666666666714</v>
      </c>
      <c r="E21" s="51"/>
      <c r="G21" s="10"/>
      <c r="H21" s="9"/>
      <c r="Z21" s="14"/>
      <c r="AA21" s="16">
        <f t="shared" si="1"/>
        <v>2.2058823529411762</v>
      </c>
      <c r="AB21" s="16">
        <f t="shared" si="0"/>
        <v>2.1666666666666714</v>
      </c>
      <c r="AC21" s="16">
        <f t="shared" si="2"/>
        <v>1.7604259885809614</v>
      </c>
      <c r="AD21" s="16">
        <f t="shared" si="6"/>
        <v>2.6513387173013911</v>
      </c>
      <c r="AE21" s="16">
        <f t="shared" si="7"/>
        <v>1.6666666666666714</v>
      </c>
      <c r="AF21" s="16">
        <f t="shared" si="8"/>
        <v>2.2233333333333336</v>
      </c>
      <c r="AG21" s="16">
        <f t="shared" si="3"/>
        <v>8.1199490196078443</v>
      </c>
      <c r="AH21" s="16" t="str">
        <f t="shared" si="4"/>
        <v/>
      </c>
      <c r="AI21" s="16">
        <f t="shared" si="5"/>
        <v>7.2703000000000007</v>
      </c>
    </row>
    <row r="22" spans="1:35">
      <c r="A22" s="8"/>
      <c r="B22" s="8">
        <v>20</v>
      </c>
      <c r="C22" s="48">
        <v>44.666666666666664</v>
      </c>
      <c r="D22" s="48">
        <v>2.3333333333333286</v>
      </c>
      <c r="E22" s="51"/>
      <c r="Z22" s="14"/>
      <c r="AA22" s="16">
        <f t="shared" si="1"/>
        <v>2.2058823529411762</v>
      </c>
      <c r="AB22" s="16">
        <f t="shared" si="0"/>
        <v>2.1666666666666714</v>
      </c>
      <c r="AC22" s="16">
        <f t="shared" si="2"/>
        <v>1.7604259885809614</v>
      </c>
      <c r="AD22" s="16">
        <f t="shared" si="6"/>
        <v>2.6513387173013911</v>
      </c>
      <c r="AE22" s="16">
        <f t="shared" si="7"/>
        <v>2.3333333333333286</v>
      </c>
      <c r="AF22" s="16">
        <f t="shared" si="8"/>
        <v>2.2233333333333336</v>
      </c>
      <c r="AG22" s="16">
        <f t="shared" si="3"/>
        <v>8.1199490196078443</v>
      </c>
      <c r="AH22" s="16" t="str">
        <f t="shared" si="4"/>
        <v/>
      </c>
      <c r="AI22" s="16">
        <f t="shared" si="5"/>
        <v>7.2703000000000007</v>
      </c>
    </row>
    <row r="23" spans="1:35">
      <c r="A23" s="8"/>
      <c r="B23" s="8">
        <v>21</v>
      </c>
      <c r="C23" s="48">
        <v>46.5</v>
      </c>
      <c r="D23" s="48">
        <v>1.8333333333333357</v>
      </c>
      <c r="E23" s="51"/>
      <c r="Z23" s="14"/>
      <c r="AA23" s="16">
        <f t="shared" si="1"/>
        <v>2.2058823529411762</v>
      </c>
      <c r="AB23" s="16">
        <f t="shared" si="0"/>
        <v>2.1666666666666714</v>
      </c>
      <c r="AC23" s="16">
        <f t="shared" si="2"/>
        <v>1.7604259885809614</v>
      </c>
      <c r="AD23" s="16">
        <f t="shared" si="6"/>
        <v>2.6513387173013911</v>
      </c>
      <c r="AE23" s="16">
        <f t="shared" si="7"/>
        <v>1.8333333333333357</v>
      </c>
      <c r="AF23" s="16">
        <f t="shared" si="8"/>
        <v>2.2233333333333336</v>
      </c>
      <c r="AG23" s="16">
        <f t="shared" si="3"/>
        <v>8.1199490196078443</v>
      </c>
      <c r="AH23" s="16" t="str">
        <f t="shared" si="4"/>
        <v/>
      </c>
      <c r="AI23" s="16">
        <f t="shared" si="5"/>
        <v>7.2703000000000007</v>
      </c>
    </row>
    <row r="24" spans="1:35">
      <c r="A24" s="8"/>
      <c r="B24" s="8">
        <v>22</v>
      </c>
      <c r="C24" s="48">
        <v>48.5</v>
      </c>
      <c r="D24" s="48">
        <v>2</v>
      </c>
      <c r="E24" s="51"/>
      <c r="Z24" s="14"/>
      <c r="AA24" s="16">
        <f t="shared" si="1"/>
        <v>2.2058823529411762</v>
      </c>
      <c r="AB24" s="16">
        <f t="shared" si="0"/>
        <v>2.1666666666666714</v>
      </c>
      <c r="AC24" s="16">
        <f t="shared" si="2"/>
        <v>1.7604259885809614</v>
      </c>
      <c r="AD24" s="16">
        <f t="shared" si="6"/>
        <v>2.6513387173013911</v>
      </c>
      <c r="AE24" s="16">
        <f t="shared" si="7"/>
        <v>2</v>
      </c>
      <c r="AF24" s="16">
        <f t="shared" si="8"/>
        <v>2.2233333333333336</v>
      </c>
      <c r="AG24" s="16">
        <f t="shared" si="3"/>
        <v>8.1199490196078443</v>
      </c>
      <c r="AH24" s="16" t="str">
        <f t="shared" si="4"/>
        <v/>
      </c>
      <c r="AI24" s="16">
        <f t="shared" si="5"/>
        <v>7.2703000000000007</v>
      </c>
    </row>
    <row r="25" spans="1:35">
      <c r="A25" s="8"/>
      <c r="B25" s="8">
        <v>23</v>
      </c>
      <c r="C25" s="48">
        <v>50</v>
      </c>
      <c r="D25" s="48">
        <v>1.5</v>
      </c>
      <c r="E25" s="51"/>
      <c r="Z25" s="14"/>
      <c r="AA25" s="16">
        <f t="shared" si="1"/>
        <v>2.2058823529411762</v>
      </c>
      <c r="AB25" s="16">
        <f t="shared" si="0"/>
        <v>2.1666666666666714</v>
      </c>
      <c r="AC25" s="16">
        <f t="shared" si="2"/>
        <v>1.7604259885809614</v>
      </c>
      <c r="AD25" s="16">
        <f t="shared" si="6"/>
        <v>2.6513387173013911</v>
      </c>
      <c r="AE25" s="16">
        <f t="shared" si="7"/>
        <v>1.5</v>
      </c>
      <c r="AF25" s="16">
        <f t="shared" si="8"/>
        <v>2.2233333333333336</v>
      </c>
      <c r="AG25" s="16">
        <f t="shared" si="3"/>
        <v>8.1199490196078443</v>
      </c>
      <c r="AH25" s="16" t="str">
        <f t="shared" si="4"/>
        <v/>
      </c>
      <c r="AI25" s="16">
        <f t="shared" si="5"/>
        <v>7.2703000000000007</v>
      </c>
    </row>
    <row r="26" spans="1:35">
      <c r="A26" s="8"/>
      <c r="B26" s="8">
        <v>24</v>
      </c>
      <c r="C26" s="48">
        <v>52</v>
      </c>
      <c r="D26" s="48">
        <v>2</v>
      </c>
      <c r="E26" s="51"/>
      <c r="Z26" s="14"/>
      <c r="AA26" s="16">
        <f t="shared" si="1"/>
        <v>2.2058823529411762</v>
      </c>
      <c r="AB26" s="16">
        <f t="shared" si="0"/>
        <v>2.1666666666666714</v>
      </c>
      <c r="AC26" s="16">
        <f t="shared" si="2"/>
        <v>1.7604259885809614</v>
      </c>
      <c r="AD26" s="16">
        <f t="shared" si="6"/>
        <v>2.6513387173013911</v>
      </c>
      <c r="AE26" s="16">
        <f t="shared" si="7"/>
        <v>2</v>
      </c>
      <c r="AF26" s="16">
        <f t="shared" si="8"/>
        <v>2.2233333333333336</v>
      </c>
      <c r="AG26" s="16">
        <f t="shared" si="3"/>
        <v>8.1199490196078443</v>
      </c>
      <c r="AH26" s="16" t="str">
        <f t="shared" si="4"/>
        <v/>
      </c>
      <c r="AI26" s="16">
        <f t="shared" si="5"/>
        <v>7.2703000000000007</v>
      </c>
    </row>
    <row r="27" spans="1:35">
      <c r="A27" s="8"/>
      <c r="B27" s="8">
        <v>25</v>
      </c>
      <c r="C27" s="48">
        <v>54</v>
      </c>
      <c r="D27" s="48">
        <v>2</v>
      </c>
      <c r="E27" s="51"/>
      <c r="Z27" s="14"/>
      <c r="AA27" s="16">
        <f t="shared" si="1"/>
        <v>2.2058823529411762</v>
      </c>
      <c r="AB27" s="16">
        <f t="shared" si="0"/>
        <v>2.1666666666666714</v>
      </c>
      <c r="AC27" s="16">
        <f t="shared" si="2"/>
        <v>1.7604259885809614</v>
      </c>
      <c r="AD27" s="16">
        <f t="shared" si="6"/>
        <v>2.6513387173013911</v>
      </c>
      <c r="AE27" s="16">
        <f t="shared" si="7"/>
        <v>2</v>
      </c>
      <c r="AF27" s="16">
        <f t="shared" si="8"/>
        <v>2.2233333333333336</v>
      </c>
      <c r="AG27" s="16">
        <f t="shared" si="3"/>
        <v>8.1199490196078443</v>
      </c>
      <c r="AH27" s="16" t="str">
        <f t="shared" si="4"/>
        <v/>
      </c>
      <c r="AI27" s="16">
        <f t="shared" si="5"/>
        <v>7.2703000000000007</v>
      </c>
    </row>
    <row r="28" spans="1:35">
      <c r="A28" s="8"/>
      <c r="B28" s="8">
        <v>26</v>
      </c>
      <c r="C28" s="48">
        <v>56.166666666666664</v>
      </c>
      <c r="D28" s="48">
        <v>2.1666666666666643</v>
      </c>
      <c r="E28" s="51"/>
      <c r="Z28" s="14"/>
      <c r="AA28" s="16">
        <f t="shared" si="1"/>
        <v>2.2058823529411762</v>
      </c>
      <c r="AB28" s="16">
        <f t="shared" si="0"/>
        <v>2.1666666666666714</v>
      </c>
      <c r="AC28" s="16">
        <f t="shared" si="2"/>
        <v>1.7604259885809614</v>
      </c>
      <c r="AD28" s="16">
        <f t="shared" si="6"/>
        <v>2.6513387173013911</v>
      </c>
      <c r="AE28" s="16">
        <f t="shared" si="7"/>
        <v>2.1666666666666643</v>
      </c>
      <c r="AF28" s="16">
        <f t="shared" si="8"/>
        <v>2.2233333333333336</v>
      </c>
      <c r="AG28" s="16">
        <f t="shared" si="3"/>
        <v>8.1199490196078443</v>
      </c>
      <c r="AH28" s="16" t="str">
        <f t="shared" si="4"/>
        <v/>
      </c>
      <c r="AI28" s="16">
        <f t="shared" si="5"/>
        <v>7.2703000000000007</v>
      </c>
    </row>
    <row r="29" spans="1:35">
      <c r="A29" s="8"/>
      <c r="B29" s="8">
        <v>27</v>
      </c>
      <c r="C29" s="48">
        <v>58</v>
      </c>
      <c r="D29" s="48">
        <v>1.8333333333333357</v>
      </c>
      <c r="E29" s="51"/>
      <c r="Z29" s="14"/>
      <c r="AA29" s="16">
        <f t="shared" si="1"/>
        <v>2.2058823529411762</v>
      </c>
      <c r="AB29" s="16">
        <f t="shared" si="0"/>
        <v>2.1666666666666714</v>
      </c>
      <c r="AC29" s="16">
        <f t="shared" si="2"/>
        <v>1.7604259885809614</v>
      </c>
      <c r="AD29" s="16">
        <f t="shared" si="6"/>
        <v>2.6513387173013911</v>
      </c>
      <c r="AE29" s="16">
        <f t="shared" si="7"/>
        <v>1.8333333333333357</v>
      </c>
      <c r="AF29" s="16">
        <f t="shared" si="8"/>
        <v>2.2233333333333336</v>
      </c>
      <c r="AG29" s="16">
        <f t="shared" si="3"/>
        <v>8.1199490196078443</v>
      </c>
      <c r="AH29" s="16" t="str">
        <f t="shared" si="4"/>
        <v/>
      </c>
      <c r="AI29" s="16">
        <f t="shared" si="5"/>
        <v>7.2703000000000007</v>
      </c>
    </row>
    <row r="30" spans="1:35">
      <c r="A30" s="8"/>
      <c r="B30" s="8">
        <v>28</v>
      </c>
      <c r="C30" s="48">
        <v>59.833333333333336</v>
      </c>
      <c r="D30" s="48">
        <v>1.8333333333333357</v>
      </c>
      <c r="E30" s="51"/>
      <c r="Z30" s="14"/>
      <c r="AA30" s="16">
        <f t="shared" si="1"/>
        <v>2.2058823529411762</v>
      </c>
      <c r="AB30" s="16">
        <f t="shared" si="0"/>
        <v>2.1666666666666714</v>
      </c>
      <c r="AC30" s="16">
        <f t="shared" si="2"/>
        <v>1.7604259885809614</v>
      </c>
      <c r="AD30" s="16">
        <f t="shared" si="6"/>
        <v>2.6513387173013911</v>
      </c>
      <c r="AE30" s="16">
        <f t="shared" si="7"/>
        <v>1.8333333333333357</v>
      </c>
      <c r="AF30" s="16">
        <f t="shared" si="8"/>
        <v>2.2233333333333336</v>
      </c>
      <c r="AG30" s="16">
        <f t="shared" si="3"/>
        <v>8.1199490196078443</v>
      </c>
      <c r="AH30" s="16" t="str">
        <f t="shared" si="4"/>
        <v/>
      </c>
      <c r="AI30" s="16">
        <f t="shared" si="5"/>
        <v>7.2703000000000007</v>
      </c>
    </row>
    <row r="31" spans="1:35">
      <c r="A31" s="8"/>
      <c r="B31" s="8">
        <v>29</v>
      </c>
      <c r="C31" s="48">
        <v>62</v>
      </c>
      <c r="D31" s="48">
        <v>2.1666666666666643</v>
      </c>
      <c r="E31" s="51"/>
      <c r="Z31" s="14"/>
      <c r="AA31" s="16">
        <f t="shared" si="1"/>
        <v>2.2058823529411762</v>
      </c>
      <c r="AB31" s="16">
        <f t="shared" si="0"/>
        <v>2.1666666666666714</v>
      </c>
      <c r="AC31" s="16">
        <f t="shared" si="2"/>
        <v>1.7604259885809614</v>
      </c>
      <c r="AD31" s="16">
        <f t="shared" si="6"/>
        <v>2.6513387173013911</v>
      </c>
      <c r="AE31" s="16">
        <f t="shared" si="7"/>
        <v>2.1666666666666643</v>
      </c>
      <c r="AF31" s="16">
        <f t="shared" si="8"/>
        <v>2.2233333333333336</v>
      </c>
      <c r="AG31" s="16">
        <f t="shared" si="3"/>
        <v>8.1199490196078443</v>
      </c>
      <c r="AH31" s="16" t="str">
        <f t="shared" si="4"/>
        <v/>
      </c>
      <c r="AI31" s="16">
        <f t="shared" si="5"/>
        <v>7.2703000000000007</v>
      </c>
    </row>
    <row r="32" spans="1:35">
      <c r="A32" s="8"/>
      <c r="B32" s="8">
        <v>30</v>
      </c>
      <c r="C32" s="48">
        <v>64.166666666666671</v>
      </c>
      <c r="D32" s="48">
        <v>2.1666666666666714</v>
      </c>
      <c r="E32" s="51"/>
      <c r="Z32" s="14"/>
      <c r="AA32" s="16">
        <f t="shared" si="1"/>
        <v>2.2058823529411762</v>
      </c>
      <c r="AB32" s="16">
        <f t="shared" si="0"/>
        <v>2.1666666666666714</v>
      </c>
      <c r="AC32" s="16">
        <f t="shared" si="2"/>
        <v>1.7604259885809614</v>
      </c>
      <c r="AD32" s="16">
        <f t="shared" si="6"/>
        <v>2.6513387173013911</v>
      </c>
      <c r="AE32" s="16">
        <f t="shared" si="7"/>
        <v>2.1666666666666714</v>
      </c>
      <c r="AF32" s="16">
        <f t="shared" si="8"/>
        <v>2.2233333333333336</v>
      </c>
      <c r="AG32" s="16">
        <f t="shared" si="3"/>
        <v>8.1199490196078443</v>
      </c>
      <c r="AH32" s="16" t="str">
        <f t="shared" si="4"/>
        <v/>
      </c>
      <c r="AI32" s="16">
        <f t="shared" si="5"/>
        <v>7.2703000000000007</v>
      </c>
    </row>
    <row r="33" spans="1:35">
      <c r="A33" s="8"/>
      <c r="B33" s="8">
        <v>31</v>
      </c>
      <c r="C33" s="48">
        <v>66.833333333333329</v>
      </c>
      <c r="D33" s="48">
        <v>2.6666666666666572</v>
      </c>
      <c r="E33" s="51"/>
      <c r="Z33" s="14"/>
      <c r="AA33" s="16">
        <f t="shared" si="1"/>
        <v>2.2058823529411762</v>
      </c>
      <c r="AB33" s="16">
        <f t="shared" si="0"/>
        <v>2.1666666666666714</v>
      </c>
      <c r="AC33" s="16">
        <f t="shared" si="2"/>
        <v>1.7604259885809614</v>
      </c>
      <c r="AD33" s="16">
        <f t="shared" si="6"/>
        <v>2.6513387173013911</v>
      </c>
      <c r="AE33" s="16">
        <f t="shared" si="7"/>
        <v>2.6666666666666572</v>
      </c>
      <c r="AF33" s="16">
        <f t="shared" si="8"/>
        <v>2.2233333333333336</v>
      </c>
      <c r="AG33" s="16">
        <f t="shared" si="3"/>
        <v>8.1199490196078443</v>
      </c>
      <c r="AH33" s="16" t="str">
        <f t="shared" si="4"/>
        <v/>
      </c>
      <c r="AI33" s="16">
        <f t="shared" si="5"/>
        <v>7.2703000000000007</v>
      </c>
    </row>
    <row r="34" spans="1:35">
      <c r="A34" s="8"/>
      <c r="B34" s="8">
        <v>32</v>
      </c>
      <c r="C34" s="48">
        <v>69.333333333333329</v>
      </c>
      <c r="D34" s="48">
        <v>2.5</v>
      </c>
      <c r="E34" s="51"/>
      <c r="Z34" s="14"/>
      <c r="AA34" s="16">
        <f t="shared" si="1"/>
        <v>2.2058823529411762</v>
      </c>
      <c r="AB34" s="16">
        <f t="shared" si="0"/>
        <v>2.1666666666666714</v>
      </c>
      <c r="AC34" s="16">
        <f t="shared" si="2"/>
        <v>1.7604259885809614</v>
      </c>
      <c r="AD34" s="16">
        <f t="shared" si="6"/>
        <v>2.6513387173013911</v>
      </c>
      <c r="AE34" s="16">
        <f t="shared" si="7"/>
        <v>2.5</v>
      </c>
      <c r="AF34" s="16">
        <f t="shared" si="8"/>
        <v>2.2233333333333336</v>
      </c>
      <c r="AG34" s="16">
        <f t="shared" si="3"/>
        <v>8.1199490196078443</v>
      </c>
      <c r="AH34" s="16" t="str">
        <f t="shared" si="4"/>
        <v/>
      </c>
      <c r="AI34" s="16">
        <f t="shared" si="5"/>
        <v>7.2703000000000007</v>
      </c>
    </row>
    <row r="35" spans="1:35">
      <c r="A35" s="8"/>
      <c r="B35" s="8">
        <v>33</v>
      </c>
      <c r="C35" s="48">
        <v>72</v>
      </c>
      <c r="D35" s="48">
        <v>2.6666666666666714</v>
      </c>
      <c r="E35" s="51"/>
      <c r="Z35" s="14"/>
      <c r="AA35" s="16">
        <f t="shared" si="1"/>
        <v>2.2058823529411762</v>
      </c>
      <c r="AB35" s="16">
        <f t="shared" ref="AB35:AB66" si="9">$G$6</f>
        <v>2.1666666666666714</v>
      </c>
      <c r="AC35" s="16">
        <f t="shared" si="2"/>
        <v>1.7604259885809614</v>
      </c>
      <c r="AD35" s="16">
        <f t="shared" si="6"/>
        <v>2.6513387173013911</v>
      </c>
      <c r="AE35" s="16">
        <f t="shared" si="7"/>
        <v>2.6666666666666714</v>
      </c>
      <c r="AF35" s="16">
        <f t="shared" si="8"/>
        <v>2.2233333333333336</v>
      </c>
      <c r="AG35" s="16">
        <f t="shared" si="3"/>
        <v>8.1199490196078443</v>
      </c>
      <c r="AH35" s="16" t="str">
        <f t="shared" si="4"/>
        <v/>
      </c>
      <c r="AI35" s="16">
        <f t="shared" si="5"/>
        <v>7.2703000000000007</v>
      </c>
    </row>
    <row r="36" spans="1:35">
      <c r="A36" s="8"/>
      <c r="B36" s="8">
        <v>34</v>
      </c>
      <c r="C36" s="48">
        <v>74.5</v>
      </c>
      <c r="D36" s="48">
        <v>2.5</v>
      </c>
      <c r="E36" s="51"/>
      <c r="Z36" s="14"/>
      <c r="AA36" s="16">
        <f t="shared" si="1"/>
        <v>2.2058823529411762</v>
      </c>
      <c r="AB36" s="16">
        <f t="shared" si="9"/>
        <v>2.1666666666666714</v>
      </c>
      <c r="AC36" s="16">
        <f t="shared" si="2"/>
        <v>1.7604259885809614</v>
      </c>
      <c r="AD36" s="16">
        <f t="shared" si="6"/>
        <v>2.6513387173013911</v>
      </c>
      <c r="AE36" s="16">
        <f t="shared" si="7"/>
        <v>2.5</v>
      </c>
      <c r="AF36" s="16">
        <f t="shared" si="8"/>
        <v>2.2233333333333336</v>
      </c>
      <c r="AG36" s="16">
        <f t="shared" si="3"/>
        <v>8.1199490196078443</v>
      </c>
      <c r="AH36" s="16" t="str">
        <f t="shared" si="4"/>
        <v/>
      </c>
      <c r="AI36" s="16">
        <f t="shared" si="5"/>
        <v>7.2703000000000007</v>
      </c>
    </row>
    <row r="37" spans="1:35">
      <c r="A37" s="8"/>
      <c r="B37" s="8">
        <v>35</v>
      </c>
      <c r="C37" s="48">
        <v>77.166666666666671</v>
      </c>
      <c r="D37" s="48">
        <v>2.6666666666666714</v>
      </c>
      <c r="E37" s="51"/>
      <c r="Z37" s="14"/>
      <c r="AA37" s="16">
        <f t="shared" si="1"/>
        <v>2.2058823529411762</v>
      </c>
      <c r="AB37" s="16">
        <f t="shared" si="9"/>
        <v>2.1666666666666714</v>
      </c>
      <c r="AC37" s="16">
        <f t="shared" si="2"/>
        <v>1.7604259885809614</v>
      </c>
      <c r="AD37" s="16">
        <f t="shared" si="6"/>
        <v>2.6513387173013911</v>
      </c>
      <c r="AE37" s="16">
        <f t="shared" si="7"/>
        <v>2.6666666666666714</v>
      </c>
      <c r="AF37" s="16">
        <f t="shared" si="8"/>
        <v>2.2233333333333336</v>
      </c>
      <c r="AG37" s="16">
        <f t="shared" si="3"/>
        <v>8.1199490196078443</v>
      </c>
      <c r="AH37" s="16" t="str">
        <f t="shared" si="4"/>
        <v/>
      </c>
      <c r="AI37" s="16">
        <f t="shared" si="5"/>
        <v>7.2703000000000007</v>
      </c>
    </row>
    <row r="38" spans="1:35">
      <c r="A38" s="8"/>
      <c r="B38" s="8">
        <v>36</v>
      </c>
      <c r="C38" s="48">
        <v>79.333333333333329</v>
      </c>
      <c r="D38" s="48">
        <v>2.1666666666666572</v>
      </c>
      <c r="E38" s="51"/>
      <c r="Z38" s="14"/>
      <c r="AA38" s="16">
        <f t="shared" si="1"/>
        <v>2.2058823529411762</v>
      </c>
      <c r="AB38" s="16">
        <f t="shared" si="9"/>
        <v>2.1666666666666714</v>
      </c>
      <c r="AC38" s="16">
        <f t="shared" si="2"/>
        <v>1.7604259885809614</v>
      </c>
      <c r="AD38" s="16">
        <f t="shared" si="6"/>
        <v>2.6513387173013911</v>
      </c>
      <c r="AE38" s="16">
        <f t="shared" si="7"/>
        <v>2.1666666666666572</v>
      </c>
      <c r="AF38" s="16">
        <f t="shared" si="8"/>
        <v>2.2233333333333336</v>
      </c>
      <c r="AG38" s="16">
        <f t="shared" si="3"/>
        <v>8.1199490196078443</v>
      </c>
      <c r="AH38" s="16" t="str">
        <f t="shared" si="4"/>
        <v/>
      </c>
      <c r="AI38" s="16">
        <f t="shared" si="5"/>
        <v>7.2703000000000007</v>
      </c>
    </row>
    <row r="39" spans="1:35">
      <c r="A39" s="8"/>
      <c r="B39" s="8">
        <v>37</v>
      </c>
      <c r="C39" s="48">
        <v>81.333333333333329</v>
      </c>
      <c r="D39" s="48">
        <v>2</v>
      </c>
      <c r="E39" s="51"/>
      <c r="Z39" s="14"/>
      <c r="AA39" s="16">
        <f t="shared" si="1"/>
        <v>2.2058823529411762</v>
      </c>
      <c r="AB39" s="16">
        <f t="shared" si="9"/>
        <v>2.1666666666666714</v>
      </c>
      <c r="AC39" s="16">
        <f t="shared" si="2"/>
        <v>1.7604259885809614</v>
      </c>
      <c r="AD39" s="16">
        <f t="shared" si="6"/>
        <v>2.6513387173013911</v>
      </c>
      <c r="AE39" s="16">
        <f t="shared" si="7"/>
        <v>2</v>
      </c>
      <c r="AF39" s="16">
        <f t="shared" si="8"/>
        <v>2.2233333333333336</v>
      </c>
      <c r="AG39" s="16">
        <f t="shared" si="3"/>
        <v>8.1199490196078443</v>
      </c>
      <c r="AH39" s="16" t="str">
        <f t="shared" si="4"/>
        <v/>
      </c>
      <c r="AI39" s="16">
        <f t="shared" si="5"/>
        <v>7.2703000000000007</v>
      </c>
    </row>
    <row r="40" spans="1:35">
      <c r="A40" s="8"/>
      <c r="B40" s="8">
        <v>38</v>
      </c>
      <c r="C40" s="48">
        <v>83.666666666666671</v>
      </c>
      <c r="D40" s="48">
        <v>2.3333333333333428</v>
      </c>
      <c r="E40" s="51"/>
      <c r="Z40" s="14"/>
      <c r="AA40" s="16">
        <f t="shared" si="1"/>
        <v>2.2058823529411762</v>
      </c>
      <c r="AB40" s="16">
        <f t="shared" si="9"/>
        <v>2.1666666666666714</v>
      </c>
      <c r="AC40" s="16">
        <f t="shared" si="2"/>
        <v>1.7604259885809614</v>
      </c>
      <c r="AD40" s="16">
        <f t="shared" si="6"/>
        <v>2.6513387173013911</v>
      </c>
      <c r="AE40" s="16">
        <f t="shared" si="7"/>
        <v>2.3333333333333428</v>
      </c>
      <c r="AF40" s="16">
        <f t="shared" si="8"/>
        <v>2.2233333333333336</v>
      </c>
      <c r="AG40" s="16">
        <f t="shared" si="3"/>
        <v>8.1199490196078443</v>
      </c>
      <c r="AH40" s="16" t="str">
        <f t="shared" si="4"/>
        <v/>
      </c>
      <c r="AI40" s="16">
        <f t="shared" si="5"/>
        <v>7.2703000000000007</v>
      </c>
    </row>
    <row r="41" spans="1:35">
      <c r="A41" s="8"/>
      <c r="B41" s="8">
        <v>39</v>
      </c>
      <c r="C41" s="48">
        <v>86.166666666666671</v>
      </c>
      <c r="D41" s="48">
        <v>2.5</v>
      </c>
      <c r="E41" s="51"/>
      <c r="Z41" s="14"/>
      <c r="AA41" s="16">
        <f t="shared" si="1"/>
        <v>2.2058823529411762</v>
      </c>
      <c r="AB41" s="16">
        <f t="shared" si="9"/>
        <v>2.1666666666666714</v>
      </c>
      <c r="AC41" s="16">
        <f t="shared" si="2"/>
        <v>1.7604259885809614</v>
      </c>
      <c r="AD41" s="16">
        <f t="shared" si="6"/>
        <v>2.6513387173013911</v>
      </c>
      <c r="AE41" s="16">
        <f t="shared" si="7"/>
        <v>2.5</v>
      </c>
      <c r="AF41" s="16">
        <f t="shared" si="8"/>
        <v>2.2233333333333336</v>
      </c>
      <c r="AG41" s="16">
        <f t="shared" si="3"/>
        <v>8.1199490196078443</v>
      </c>
      <c r="AH41" s="16" t="str">
        <f t="shared" si="4"/>
        <v/>
      </c>
      <c r="AI41" s="16">
        <f t="shared" si="5"/>
        <v>7.2703000000000007</v>
      </c>
    </row>
    <row r="42" spans="1:35">
      <c r="A42" s="8"/>
      <c r="B42" s="8">
        <v>40</v>
      </c>
      <c r="C42" s="48">
        <v>88.5</v>
      </c>
      <c r="D42" s="48">
        <v>2.3333333333333286</v>
      </c>
      <c r="E42" s="51"/>
      <c r="Z42" s="14"/>
      <c r="AA42" s="16">
        <f t="shared" si="1"/>
        <v>2.2058823529411762</v>
      </c>
      <c r="AB42" s="16">
        <f t="shared" si="9"/>
        <v>2.1666666666666714</v>
      </c>
      <c r="AC42" s="16">
        <f t="shared" si="2"/>
        <v>1.7604259885809614</v>
      </c>
      <c r="AD42" s="16">
        <f t="shared" si="6"/>
        <v>2.6513387173013911</v>
      </c>
      <c r="AE42" s="16">
        <f t="shared" si="7"/>
        <v>2.3333333333333286</v>
      </c>
      <c r="AF42" s="16">
        <f t="shared" si="8"/>
        <v>2.2233333333333336</v>
      </c>
      <c r="AG42" s="16">
        <f t="shared" si="3"/>
        <v>8.1199490196078443</v>
      </c>
      <c r="AH42" s="16" t="str">
        <f t="shared" si="4"/>
        <v/>
      </c>
      <c r="AI42" s="16">
        <f t="shared" si="5"/>
        <v>7.2703000000000007</v>
      </c>
    </row>
    <row r="43" spans="1:35">
      <c r="A43" s="8"/>
      <c r="B43" s="8">
        <v>41</v>
      </c>
      <c r="C43" s="48">
        <v>90.5</v>
      </c>
      <c r="D43" s="48">
        <v>2</v>
      </c>
      <c r="E43" s="51"/>
      <c r="Z43" s="14"/>
      <c r="AA43" s="16">
        <f t="shared" si="1"/>
        <v>2.2058823529411762</v>
      </c>
      <c r="AB43" s="16">
        <f t="shared" si="9"/>
        <v>2.1666666666666714</v>
      </c>
      <c r="AC43" s="16">
        <f t="shared" si="2"/>
        <v>1.7604259885809614</v>
      </c>
      <c r="AD43" s="16">
        <f t="shared" si="6"/>
        <v>2.6513387173013911</v>
      </c>
      <c r="AE43" s="16">
        <f t="shared" si="7"/>
        <v>2</v>
      </c>
      <c r="AF43" s="16">
        <f t="shared" si="8"/>
        <v>2.2233333333333336</v>
      </c>
      <c r="AG43" s="16">
        <f t="shared" si="3"/>
        <v>8.1199490196078443</v>
      </c>
      <c r="AH43" s="16" t="str">
        <f t="shared" si="4"/>
        <v/>
      </c>
      <c r="AI43" s="16">
        <f t="shared" si="5"/>
        <v>7.2703000000000007</v>
      </c>
    </row>
    <row r="44" spans="1:35">
      <c r="A44" s="8"/>
      <c r="B44" s="8">
        <v>42</v>
      </c>
      <c r="C44" s="48">
        <v>92.833333333333329</v>
      </c>
      <c r="D44" s="48">
        <v>2.3333333333333286</v>
      </c>
      <c r="E44" s="51"/>
      <c r="Z44" s="14"/>
      <c r="AA44" s="16">
        <f t="shared" si="1"/>
        <v>2.2058823529411762</v>
      </c>
      <c r="AB44" s="16">
        <f t="shared" si="9"/>
        <v>2.1666666666666714</v>
      </c>
      <c r="AC44" s="16">
        <f t="shared" si="2"/>
        <v>1.7604259885809614</v>
      </c>
      <c r="AD44" s="16">
        <f t="shared" si="6"/>
        <v>2.6513387173013911</v>
      </c>
      <c r="AE44" s="16">
        <f t="shared" si="7"/>
        <v>2.3333333333333286</v>
      </c>
      <c r="AF44" s="16">
        <f t="shared" si="8"/>
        <v>2.2233333333333336</v>
      </c>
      <c r="AG44" s="16">
        <f t="shared" si="3"/>
        <v>8.1199490196078443</v>
      </c>
      <c r="AH44" s="16" t="str">
        <f t="shared" si="4"/>
        <v/>
      </c>
      <c r="AI44" s="16">
        <f t="shared" si="5"/>
        <v>7.2703000000000007</v>
      </c>
    </row>
    <row r="45" spans="1:35">
      <c r="A45" s="8"/>
      <c r="B45" s="8">
        <v>43</v>
      </c>
      <c r="C45" s="48">
        <v>95</v>
      </c>
      <c r="D45" s="48">
        <v>2.1666666666666714</v>
      </c>
      <c r="E45" s="51"/>
      <c r="Z45" s="14"/>
      <c r="AA45" s="16">
        <f t="shared" si="1"/>
        <v>2.2058823529411762</v>
      </c>
      <c r="AB45" s="16">
        <f t="shared" si="9"/>
        <v>2.1666666666666714</v>
      </c>
      <c r="AC45" s="16">
        <f t="shared" si="2"/>
        <v>1.7604259885809614</v>
      </c>
      <c r="AD45" s="16">
        <f t="shared" si="6"/>
        <v>2.6513387173013911</v>
      </c>
      <c r="AE45" s="16">
        <f t="shared" si="7"/>
        <v>2.1666666666666714</v>
      </c>
      <c r="AF45" s="16">
        <f t="shared" si="8"/>
        <v>2.2233333333333336</v>
      </c>
      <c r="AG45" s="16">
        <f t="shared" si="3"/>
        <v>8.1199490196078443</v>
      </c>
      <c r="AH45" s="16" t="str">
        <f t="shared" si="4"/>
        <v/>
      </c>
      <c r="AI45" s="16">
        <f t="shared" si="5"/>
        <v>7.2703000000000007</v>
      </c>
    </row>
    <row r="46" spans="1:35">
      <c r="A46" s="8"/>
      <c r="B46" s="8">
        <v>44</v>
      </c>
      <c r="C46" s="48">
        <v>97.333333333333329</v>
      </c>
      <c r="D46" s="48">
        <v>2.3333333333333286</v>
      </c>
      <c r="E46" s="51"/>
      <c r="Z46" s="14"/>
      <c r="AA46" s="16">
        <f t="shared" si="1"/>
        <v>2.2058823529411762</v>
      </c>
      <c r="AB46" s="16">
        <f t="shared" si="9"/>
        <v>2.1666666666666714</v>
      </c>
      <c r="AC46" s="16">
        <f t="shared" si="2"/>
        <v>1.7604259885809614</v>
      </c>
      <c r="AD46" s="16">
        <f t="shared" si="6"/>
        <v>2.6513387173013911</v>
      </c>
      <c r="AE46" s="16">
        <f t="shared" si="7"/>
        <v>2.3333333333333286</v>
      </c>
      <c r="AF46" s="16">
        <f t="shared" si="8"/>
        <v>2.2233333333333336</v>
      </c>
      <c r="AG46" s="16">
        <f t="shared" si="3"/>
        <v>8.1199490196078443</v>
      </c>
      <c r="AH46" s="16" t="str">
        <f t="shared" si="4"/>
        <v/>
      </c>
      <c r="AI46" s="16">
        <f t="shared" si="5"/>
        <v>7.2703000000000007</v>
      </c>
    </row>
    <row r="47" spans="1:35">
      <c r="A47" s="8"/>
      <c r="B47" s="8">
        <v>45</v>
      </c>
      <c r="C47" s="48">
        <v>99.5</v>
      </c>
      <c r="D47" s="48">
        <v>2.1666666666666714</v>
      </c>
      <c r="E47" s="51"/>
      <c r="Z47" s="14"/>
      <c r="AA47" s="16">
        <f t="shared" si="1"/>
        <v>2.2058823529411762</v>
      </c>
      <c r="AB47" s="16">
        <f t="shared" si="9"/>
        <v>2.1666666666666714</v>
      </c>
      <c r="AC47" s="16">
        <f t="shared" si="2"/>
        <v>1.7604259885809614</v>
      </c>
      <c r="AD47" s="16">
        <f t="shared" si="6"/>
        <v>2.6513387173013911</v>
      </c>
      <c r="AE47" s="16">
        <f t="shared" si="7"/>
        <v>2.1666666666666714</v>
      </c>
      <c r="AF47" s="16">
        <f t="shared" si="8"/>
        <v>2.2233333333333336</v>
      </c>
      <c r="AG47" s="16">
        <f t="shared" si="3"/>
        <v>8.1199490196078443</v>
      </c>
      <c r="AH47" s="16" t="str">
        <f t="shared" si="4"/>
        <v/>
      </c>
      <c r="AI47" s="16">
        <f t="shared" si="5"/>
        <v>7.2703000000000007</v>
      </c>
    </row>
    <row r="48" spans="1:35">
      <c r="A48" s="8"/>
      <c r="B48" s="8">
        <v>46</v>
      </c>
      <c r="C48" s="48">
        <v>101.83333333333333</v>
      </c>
      <c r="D48" s="48">
        <v>2.3333333333333286</v>
      </c>
      <c r="E48" s="51"/>
      <c r="Z48" s="14"/>
      <c r="AA48" s="16">
        <f t="shared" si="1"/>
        <v>2.2058823529411762</v>
      </c>
      <c r="AB48" s="16">
        <f t="shared" si="9"/>
        <v>2.1666666666666714</v>
      </c>
      <c r="AC48" s="16">
        <f t="shared" si="2"/>
        <v>1.7604259885809614</v>
      </c>
      <c r="AD48" s="16">
        <f t="shared" si="6"/>
        <v>2.6513387173013911</v>
      </c>
      <c r="AE48" s="16">
        <f t="shared" si="7"/>
        <v>2.3333333333333286</v>
      </c>
      <c r="AF48" s="16">
        <f t="shared" si="8"/>
        <v>2.2233333333333336</v>
      </c>
      <c r="AG48" s="16">
        <f t="shared" si="3"/>
        <v>8.1199490196078443</v>
      </c>
      <c r="AH48" s="16" t="str">
        <f t="shared" si="4"/>
        <v/>
      </c>
      <c r="AI48" s="16">
        <f t="shared" si="5"/>
        <v>7.2703000000000007</v>
      </c>
    </row>
    <row r="49" spans="1:35">
      <c r="A49" s="8"/>
      <c r="B49" s="8">
        <v>47</v>
      </c>
      <c r="C49" s="48">
        <v>104</v>
      </c>
      <c r="D49" s="48">
        <v>2.1666666666666714</v>
      </c>
      <c r="E49" s="51"/>
      <c r="Z49" s="14"/>
      <c r="AA49" s="16">
        <f t="shared" si="1"/>
        <v>2.2058823529411762</v>
      </c>
      <c r="AB49" s="16">
        <f t="shared" si="9"/>
        <v>2.1666666666666714</v>
      </c>
      <c r="AC49" s="16">
        <f t="shared" si="2"/>
        <v>1.7604259885809614</v>
      </c>
      <c r="AD49" s="16">
        <f t="shared" si="6"/>
        <v>2.6513387173013911</v>
      </c>
      <c r="AE49" s="16">
        <f t="shared" si="7"/>
        <v>2.1666666666666714</v>
      </c>
      <c r="AF49" s="16">
        <f t="shared" si="8"/>
        <v>2.2233333333333336</v>
      </c>
      <c r="AG49" s="16">
        <f t="shared" si="3"/>
        <v>8.1199490196078443</v>
      </c>
      <c r="AH49" s="16" t="str">
        <f t="shared" si="4"/>
        <v/>
      </c>
      <c r="AI49" s="16">
        <f t="shared" si="5"/>
        <v>7.2703000000000007</v>
      </c>
    </row>
    <row r="50" spans="1:35">
      <c r="A50" s="8"/>
      <c r="B50" s="8">
        <v>48</v>
      </c>
      <c r="C50" s="48">
        <v>106.16666666666667</v>
      </c>
      <c r="D50" s="48">
        <v>2.1666666666666714</v>
      </c>
      <c r="E50" s="51"/>
      <c r="Z50" s="14"/>
      <c r="AA50" s="16">
        <f t="shared" si="1"/>
        <v>2.2058823529411762</v>
      </c>
      <c r="AB50" s="16">
        <f t="shared" si="9"/>
        <v>2.1666666666666714</v>
      </c>
      <c r="AC50" s="16">
        <f t="shared" si="2"/>
        <v>1.7604259885809614</v>
      </c>
      <c r="AD50" s="16">
        <f t="shared" si="6"/>
        <v>2.6513387173013911</v>
      </c>
      <c r="AE50" s="16">
        <f t="shared" si="7"/>
        <v>2.1666666666666714</v>
      </c>
      <c r="AF50" s="16">
        <f t="shared" si="8"/>
        <v>2.2233333333333336</v>
      </c>
      <c r="AG50" s="16">
        <f t="shared" si="3"/>
        <v>8.1199490196078443</v>
      </c>
      <c r="AH50" s="16" t="str">
        <f t="shared" si="4"/>
        <v/>
      </c>
      <c r="AI50" s="16">
        <f t="shared" si="5"/>
        <v>7.2703000000000007</v>
      </c>
    </row>
    <row r="51" spans="1:35">
      <c r="A51" s="8"/>
      <c r="B51" s="8">
        <v>49</v>
      </c>
      <c r="C51" s="48">
        <v>108.5</v>
      </c>
      <c r="D51" s="48">
        <v>2.3333333333333286</v>
      </c>
      <c r="E51" s="51"/>
      <c r="Z51" s="14"/>
      <c r="AA51" s="16">
        <f t="shared" si="1"/>
        <v>2.2058823529411762</v>
      </c>
      <c r="AB51" s="16">
        <f t="shared" si="9"/>
        <v>2.1666666666666714</v>
      </c>
      <c r="AC51" s="16">
        <f t="shared" si="2"/>
        <v>1.7604259885809614</v>
      </c>
      <c r="AD51" s="16">
        <f t="shared" si="6"/>
        <v>2.6513387173013911</v>
      </c>
      <c r="AE51" s="16">
        <f t="shared" si="7"/>
        <v>2.3333333333333286</v>
      </c>
      <c r="AF51" s="16">
        <f t="shared" si="8"/>
        <v>2.2233333333333336</v>
      </c>
      <c r="AG51" s="16">
        <f t="shared" si="3"/>
        <v>8.1199490196078443</v>
      </c>
      <c r="AH51" s="16" t="str">
        <f t="shared" si="4"/>
        <v/>
      </c>
      <c r="AI51" s="16">
        <f t="shared" si="5"/>
        <v>7.2703000000000007</v>
      </c>
    </row>
    <row r="52" spans="1:35">
      <c r="A52" s="8"/>
      <c r="B52" s="8">
        <v>50</v>
      </c>
      <c r="C52" s="48">
        <v>110.66666666666667</v>
      </c>
      <c r="D52" s="48">
        <v>2.1666666666666714</v>
      </c>
      <c r="E52" s="51"/>
      <c r="Z52" s="14"/>
      <c r="AA52" s="16">
        <f t="shared" si="1"/>
        <v>2.2058823529411762</v>
      </c>
      <c r="AB52" s="16">
        <f t="shared" si="9"/>
        <v>2.1666666666666714</v>
      </c>
      <c r="AC52" s="16">
        <f t="shared" si="2"/>
        <v>1.7604259885809614</v>
      </c>
      <c r="AD52" s="16">
        <f t="shared" si="6"/>
        <v>2.6513387173013911</v>
      </c>
      <c r="AE52" s="16">
        <f t="shared" si="7"/>
        <v>2.1666666666666714</v>
      </c>
      <c r="AF52" s="16">
        <f t="shared" si="8"/>
        <v>2.2233333333333336</v>
      </c>
      <c r="AG52" s="16">
        <f t="shared" si="3"/>
        <v>8.1199490196078443</v>
      </c>
      <c r="AH52" s="16" t="str">
        <f t="shared" si="4"/>
        <v/>
      </c>
      <c r="AI52" s="16">
        <f t="shared" si="5"/>
        <v>7.2703000000000007</v>
      </c>
    </row>
    <row r="53" spans="1:35">
      <c r="A53" s="8"/>
      <c r="B53" s="8">
        <v>51</v>
      </c>
      <c r="C53" s="48">
        <v>112.5</v>
      </c>
      <c r="D53" s="48">
        <v>1.8333333333333286</v>
      </c>
      <c r="E53" s="51"/>
      <c r="Z53" s="14"/>
      <c r="AA53" s="16">
        <f t="shared" si="1"/>
        <v>2.2058823529411762</v>
      </c>
      <c r="AB53" s="16">
        <f t="shared" si="9"/>
        <v>2.1666666666666714</v>
      </c>
      <c r="AC53" s="16">
        <f t="shared" si="2"/>
        <v>1.7604259885809614</v>
      </c>
      <c r="AD53" s="16">
        <f t="shared" si="6"/>
        <v>2.6513387173013911</v>
      </c>
      <c r="AE53" s="16">
        <f t="shared" si="7"/>
        <v>1.8333333333333286</v>
      </c>
      <c r="AF53" s="16">
        <f t="shared" si="8"/>
        <v>2.2233333333333336</v>
      </c>
      <c r="AG53" s="16">
        <f t="shared" si="3"/>
        <v>8.1199490196078443</v>
      </c>
      <c r="AH53" s="16" t="str">
        <f t="shared" si="4"/>
        <v/>
      </c>
      <c r="AI53" s="16">
        <f t="shared" si="5"/>
        <v>7.2703000000000007</v>
      </c>
    </row>
    <row r="54" spans="1:35">
      <c r="A54" s="8"/>
      <c r="B54" s="8">
        <v>52</v>
      </c>
      <c r="C54" s="48"/>
      <c r="D54" s="48"/>
      <c r="E54" s="51"/>
      <c r="Z54" s="14"/>
      <c r="AA54" s="16">
        <f t="shared" si="1"/>
        <v>2.2058823529411762</v>
      </c>
      <c r="AB54" s="16">
        <f t="shared" si="9"/>
        <v>2.1666666666666714</v>
      </c>
      <c r="AC54" s="16">
        <f t="shared" si="2"/>
        <v>1.7604259885809614</v>
      </c>
      <c r="AD54" s="16">
        <f t="shared" si="6"/>
        <v>2.6513387173013911</v>
      </c>
      <c r="AE54" s="16" t="str">
        <f t="shared" si="7"/>
        <v/>
      </c>
      <c r="AF54" s="16">
        <f t="shared" si="8"/>
        <v>2.2233333333333336</v>
      </c>
      <c r="AG54" s="16">
        <f t="shared" si="3"/>
        <v>8.1199490196078443</v>
      </c>
      <c r="AH54" s="16" t="str">
        <f t="shared" si="4"/>
        <v/>
      </c>
      <c r="AI54" s="16">
        <f t="shared" si="5"/>
        <v>7.2703000000000007</v>
      </c>
    </row>
    <row r="55" spans="1:35">
      <c r="A55" s="8"/>
      <c r="B55" s="8">
        <v>53</v>
      </c>
      <c r="C55" s="48"/>
      <c r="D55" s="48"/>
      <c r="E55" s="51"/>
      <c r="Z55" s="14"/>
      <c r="AA55" s="16">
        <f t="shared" si="1"/>
        <v>2.2058823529411762</v>
      </c>
      <c r="AB55" s="16">
        <f t="shared" si="9"/>
        <v>2.1666666666666714</v>
      </c>
      <c r="AC55" s="16">
        <f t="shared" si="2"/>
        <v>1.7604259885809614</v>
      </c>
      <c r="AD55" s="16">
        <f t="shared" si="6"/>
        <v>2.6513387173013911</v>
      </c>
      <c r="AE55" s="16" t="str">
        <f t="shared" si="7"/>
        <v/>
      </c>
      <c r="AF55" s="16">
        <f t="shared" si="8"/>
        <v>2.2233333333333336</v>
      </c>
      <c r="AG55" s="16">
        <f t="shared" si="3"/>
        <v>8.1199490196078443</v>
      </c>
      <c r="AH55" s="16" t="str">
        <f t="shared" si="4"/>
        <v/>
      </c>
      <c r="AI55" s="16">
        <f t="shared" si="5"/>
        <v>7.2703000000000007</v>
      </c>
    </row>
    <row r="56" spans="1:35">
      <c r="A56" s="8"/>
      <c r="B56" s="8">
        <v>54</v>
      </c>
      <c r="C56" s="48"/>
      <c r="D56" s="48"/>
      <c r="E56" s="51"/>
      <c r="Z56" s="14"/>
      <c r="AA56" s="16">
        <f t="shared" si="1"/>
        <v>2.2058823529411762</v>
      </c>
      <c r="AB56" s="16">
        <f t="shared" si="9"/>
        <v>2.1666666666666714</v>
      </c>
      <c r="AC56" s="16">
        <f t="shared" si="2"/>
        <v>1.7604259885809614</v>
      </c>
      <c r="AD56" s="16">
        <f t="shared" si="6"/>
        <v>2.6513387173013911</v>
      </c>
      <c r="AE56" s="16" t="str">
        <f t="shared" si="7"/>
        <v/>
      </c>
      <c r="AF56" s="16">
        <f t="shared" si="8"/>
        <v>2.2233333333333336</v>
      </c>
      <c r="AG56" s="16">
        <f t="shared" si="3"/>
        <v>8.1199490196078443</v>
      </c>
      <c r="AH56" s="16" t="str">
        <f t="shared" si="4"/>
        <v/>
      </c>
      <c r="AI56" s="16">
        <f t="shared" si="5"/>
        <v>7.2703000000000007</v>
      </c>
    </row>
    <row r="57" spans="1:35">
      <c r="A57" s="8"/>
      <c r="B57" s="8">
        <v>55</v>
      </c>
      <c r="C57" s="48"/>
      <c r="D57" s="48"/>
      <c r="E57" s="51"/>
      <c r="Z57" s="14"/>
      <c r="AA57" s="16">
        <f t="shared" si="1"/>
        <v>2.2058823529411762</v>
      </c>
      <c r="AB57" s="16">
        <f t="shared" si="9"/>
        <v>2.1666666666666714</v>
      </c>
      <c r="AC57" s="16">
        <f t="shared" si="2"/>
        <v>1.7604259885809614</v>
      </c>
      <c r="AD57" s="16">
        <f t="shared" si="6"/>
        <v>2.6513387173013911</v>
      </c>
      <c r="AE57" s="16" t="str">
        <f t="shared" si="7"/>
        <v/>
      </c>
      <c r="AF57" s="16">
        <f t="shared" si="8"/>
        <v>2.2233333333333336</v>
      </c>
      <c r="AG57" s="16">
        <f t="shared" si="3"/>
        <v>8.1199490196078443</v>
      </c>
      <c r="AH57" s="16" t="str">
        <f t="shared" si="4"/>
        <v/>
      </c>
      <c r="AI57" s="16">
        <f t="shared" si="5"/>
        <v>7.2703000000000007</v>
      </c>
    </row>
    <row r="58" spans="1:35">
      <c r="A58" s="8"/>
      <c r="B58" s="8">
        <v>56</v>
      </c>
      <c r="C58" s="48"/>
      <c r="D58" s="48"/>
      <c r="E58" s="51"/>
      <c r="Z58" s="14"/>
      <c r="AA58" s="16">
        <f t="shared" si="1"/>
        <v>2.2058823529411762</v>
      </c>
      <c r="AB58" s="16">
        <f t="shared" si="9"/>
        <v>2.1666666666666714</v>
      </c>
      <c r="AC58" s="16">
        <f t="shared" si="2"/>
        <v>1.7604259885809614</v>
      </c>
      <c r="AD58" s="16">
        <f t="shared" si="6"/>
        <v>2.6513387173013911</v>
      </c>
      <c r="AE58" s="16" t="str">
        <f t="shared" si="7"/>
        <v/>
      </c>
      <c r="AF58" s="16">
        <f t="shared" si="8"/>
        <v>2.2233333333333336</v>
      </c>
      <c r="AG58" s="16">
        <f t="shared" si="3"/>
        <v>8.1199490196078443</v>
      </c>
      <c r="AH58" s="16" t="str">
        <f t="shared" si="4"/>
        <v/>
      </c>
      <c r="AI58" s="16">
        <f t="shared" si="5"/>
        <v>7.2703000000000007</v>
      </c>
    </row>
    <row r="59" spans="1:35">
      <c r="A59" s="8"/>
      <c r="B59" s="8">
        <v>57</v>
      </c>
      <c r="C59" s="48"/>
      <c r="D59" s="48"/>
      <c r="E59" s="51"/>
      <c r="Z59" s="14"/>
      <c r="AA59" s="16">
        <f t="shared" si="1"/>
        <v>2.2058823529411762</v>
      </c>
      <c r="AB59" s="16">
        <f t="shared" si="9"/>
        <v>2.1666666666666714</v>
      </c>
      <c r="AC59" s="16">
        <f t="shared" si="2"/>
        <v>1.7604259885809614</v>
      </c>
      <c r="AD59" s="16">
        <f t="shared" si="6"/>
        <v>2.6513387173013911</v>
      </c>
      <c r="AE59" s="16" t="str">
        <f t="shared" si="7"/>
        <v/>
      </c>
      <c r="AF59" s="16">
        <f t="shared" si="8"/>
        <v>2.2233333333333336</v>
      </c>
      <c r="AG59" s="16">
        <f t="shared" si="3"/>
        <v>8.1199490196078443</v>
      </c>
      <c r="AH59" s="16" t="str">
        <f t="shared" si="4"/>
        <v/>
      </c>
      <c r="AI59" s="16">
        <f t="shared" si="5"/>
        <v>7.2703000000000007</v>
      </c>
    </row>
    <row r="60" spans="1:35">
      <c r="A60" s="8"/>
      <c r="B60" s="8">
        <v>58</v>
      </c>
      <c r="C60" s="48"/>
      <c r="D60" s="48"/>
      <c r="E60" s="51"/>
      <c r="Z60" s="14"/>
      <c r="AA60" s="16">
        <f t="shared" si="1"/>
        <v>2.2058823529411762</v>
      </c>
      <c r="AB60" s="16">
        <f t="shared" si="9"/>
        <v>2.1666666666666714</v>
      </c>
      <c r="AC60" s="16">
        <f t="shared" si="2"/>
        <v>1.7604259885809614</v>
      </c>
      <c r="AD60" s="16">
        <f t="shared" si="6"/>
        <v>2.6513387173013911</v>
      </c>
      <c r="AE60" s="16" t="str">
        <f t="shared" si="7"/>
        <v/>
      </c>
      <c r="AF60" s="16">
        <f t="shared" si="8"/>
        <v>2.2233333333333336</v>
      </c>
      <c r="AG60" s="16">
        <f t="shared" si="3"/>
        <v>8.1199490196078443</v>
      </c>
      <c r="AH60" s="16" t="str">
        <f t="shared" si="4"/>
        <v/>
      </c>
      <c r="AI60" s="16">
        <f t="shared" si="5"/>
        <v>7.2703000000000007</v>
      </c>
    </row>
    <row r="61" spans="1:35">
      <c r="A61" s="8"/>
      <c r="B61" s="8">
        <v>59</v>
      </c>
      <c r="C61" s="48"/>
      <c r="D61" s="48"/>
      <c r="E61" s="51"/>
      <c r="Z61" s="14"/>
      <c r="AA61" s="16">
        <f t="shared" si="1"/>
        <v>2.2058823529411762</v>
      </c>
      <c r="AB61" s="16">
        <f t="shared" si="9"/>
        <v>2.1666666666666714</v>
      </c>
      <c r="AC61" s="16">
        <f t="shared" si="2"/>
        <v>1.7604259885809614</v>
      </c>
      <c r="AD61" s="16">
        <f t="shared" si="6"/>
        <v>2.6513387173013911</v>
      </c>
      <c r="AE61" s="16" t="str">
        <f t="shared" si="7"/>
        <v/>
      </c>
      <c r="AF61" s="16">
        <f t="shared" si="8"/>
        <v>2.2233333333333336</v>
      </c>
      <c r="AG61" s="16">
        <f t="shared" si="3"/>
        <v>8.1199490196078443</v>
      </c>
      <c r="AH61" s="16" t="str">
        <f t="shared" si="4"/>
        <v/>
      </c>
      <c r="AI61" s="16">
        <f t="shared" si="5"/>
        <v>7.2703000000000007</v>
      </c>
    </row>
    <row r="62" spans="1:35">
      <c r="A62" s="8"/>
      <c r="B62" s="8">
        <v>60</v>
      </c>
      <c r="C62" s="48"/>
      <c r="D62" s="48"/>
      <c r="E62" s="51"/>
      <c r="Z62" s="14"/>
      <c r="AA62" s="16">
        <f t="shared" si="1"/>
        <v>2.2058823529411762</v>
      </c>
      <c r="AB62" s="16">
        <f t="shared" si="9"/>
        <v>2.1666666666666714</v>
      </c>
      <c r="AC62" s="16">
        <f t="shared" si="2"/>
        <v>1.7604259885809614</v>
      </c>
      <c r="AD62" s="16">
        <f t="shared" si="6"/>
        <v>2.6513387173013911</v>
      </c>
      <c r="AE62" s="16" t="str">
        <f t="shared" si="7"/>
        <v/>
      </c>
      <c r="AF62" s="16">
        <f t="shared" si="8"/>
        <v>2.2233333333333336</v>
      </c>
      <c r="AG62" s="16">
        <f t="shared" si="3"/>
        <v>8.1199490196078443</v>
      </c>
      <c r="AH62" s="16" t="str">
        <f t="shared" si="4"/>
        <v/>
      </c>
      <c r="AI62" s="16">
        <f t="shared" si="5"/>
        <v>7.2703000000000007</v>
      </c>
    </row>
    <row r="63" spans="1:35">
      <c r="A63" s="8"/>
      <c r="B63" s="8">
        <v>61</v>
      </c>
      <c r="C63" s="48"/>
      <c r="D63" s="48"/>
      <c r="E63" s="51"/>
      <c r="Z63" s="14"/>
      <c r="AA63" s="16">
        <f t="shared" si="1"/>
        <v>2.2058823529411762</v>
      </c>
      <c r="AB63" s="16">
        <f t="shared" si="9"/>
        <v>2.1666666666666714</v>
      </c>
      <c r="AC63" s="16">
        <f t="shared" si="2"/>
        <v>1.7604259885809614</v>
      </c>
      <c r="AD63" s="16">
        <f t="shared" si="6"/>
        <v>2.6513387173013911</v>
      </c>
      <c r="AE63" s="16" t="str">
        <f t="shared" si="7"/>
        <v/>
      </c>
      <c r="AF63" s="16">
        <f t="shared" si="8"/>
        <v>2.2233333333333336</v>
      </c>
      <c r="AG63" s="16">
        <f t="shared" si="3"/>
        <v>8.1199490196078443</v>
      </c>
      <c r="AH63" s="16" t="str">
        <f t="shared" si="4"/>
        <v/>
      </c>
      <c r="AI63" s="16">
        <f t="shared" si="5"/>
        <v>7.2703000000000007</v>
      </c>
    </row>
    <row r="64" spans="1:35">
      <c r="A64" s="8"/>
      <c r="B64" s="8">
        <v>62</v>
      </c>
      <c r="C64" s="48"/>
      <c r="D64" s="48"/>
      <c r="E64" s="51"/>
      <c r="Z64" s="14"/>
      <c r="AA64" s="16">
        <f t="shared" si="1"/>
        <v>2.2058823529411762</v>
      </c>
      <c r="AB64" s="16">
        <f t="shared" si="9"/>
        <v>2.1666666666666714</v>
      </c>
      <c r="AC64" s="16">
        <f t="shared" si="2"/>
        <v>1.7604259885809614</v>
      </c>
      <c r="AD64" s="16">
        <f t="shared" si="6"/>
        <v>2.6513387173013911</v>
      </c>
      <c r="AE64" s="16" t="str">
        <f t="shared" si="7"/>
        <v/>
      </c>
      <c r="AF64" s="16">
        <f t="shared" si="8"/>
        <v>2.2233333333333336</v>
      </c>
      <c r="AG64" s="16">
        <f t="shared" si="3"/>
        <v>8.1199490196078443</v>
      </c>
      <c r="AH64" s="16" t="str">
        <f t="shared" si="4"/>
        <v/>
      </c>
      <c r="AI64" s="16">
        <f t="shared" si="5"/>
        <v>7.2703000000000007</v>
      </c>
    </row>
    <row r="65" spans="1:35">
      <c r="A65" s="8"/>
      <c r="B65" s="8">
        <v>63</v>
      </c>
      <c r="C65" s="48"/>
      <c r="D65" s="48"/>
      <c r="E65" s="51"/>
      <c r="Z65" s="14"/>
      <c r="AA65" s="16">
        <f t="shared" si="1"/>
        <v>2.2058823529411762</v>
      </c>
      <c r="AB65" s="16">
        <f t="shared" si="9"/>
        <v>2.1666666666666714</v>
      </c>
      <c r="AC65" s="16">
        <f t="shared" si="2"/>
        <v>1.7604259885809614</v>
      </c>
      <c r="AD65" s="16">
        <f t="shared" si="6"/>
        <v>2.6513387173013911</v>
      </c>
      <c r="AE65" s="16" t="str">
        <f t="shared" si="7"/>
        <v/>
      </c>
      <c r="AF65" s="16">
        <f t="shared" si="8"/>
        <v>2.2233333333333336</v>
      </c>
      <c r="AG65" s="16">
        <f t="shared" si="3"/>
        <v>8.1199490196078443</v>
      </c>
      <c r="AH65" s="16" t="str">
        <f t="shared" si="4"/>
        <v/>
      </c>
      <c r="AI65" s="16">
        <f t="shared" si="5"/>
        <v>7.2703000000000007</v>
      </c>
    </row>
    <row r="66" spans="1:35">
      <c r="A66" s="8"/>
      <c r="B66" s="8">
        <v>64</v>
      </c>
      <c r="C66" s="48"/>
      <c r="D66" s="48"/>
      <c r="E66" s="51"/>
      <c r="Z66" s="14"/>
      <c r="AA66" s="16">
        <f t="shared" si="1"/>
        <v>2.2058823529411762</v>
      </c>
      <c r="AB66" s="16">
        <f t="shared" si="9"/>
        <v>2.1666666666666714</v>
      </c>
      <c r="AC66" s="16">
        <f t="shared" si="2"/>
        <v>1.7604259885809614</v>
      </c>
      <c r="AD66" s="16">
        <f t="shared" si="6"/>
        <v>2.6513387173013911</v>
      </c>
      <c r="AE66" s="16" t="str">
        <f t="shared" si="7"/>
        <v/>
      </c>
      <c r="AF66" s="16">
        <f t="shared" si="8"/>
        <v>2.2233333333333336</v>
      </c>
      <c r="AG66" s="16">
        <f t="shared" si="3"/>
        <v>8.1199490196078443</v>
      </c>
      <c r="AH66" s="16" t="str">
        <f t="shared" si="4"/>
        <v/>
      </c>
      <c r="AI66" s="16">
        <f t="shared" si="5"/>
        <v>7.2703000000000007</v>
      </c>
    </row>
    <row r="67" spans="1:35">
      <c r="A67" s="8"/>
      <c r="B67" s="8">
        <v>65</v>
      </c>
      <c r="C67" s="48"/>
      <c r="D67" s="48"/>
      <c r="E67" s="51"/>
      <c r="Z67" s="14"/>
      <c r="AA67" s="16">
        <f t="shared" si="1"/>
        <v>2.2058823529411762</v>
      </c>
      <c r="AB67" s="16">
        <f t="shared" ref="AB67:AB102" si="10">$G$6</f>
        <v>2.1666666666666714</v>
      </c>
      <c r="AC67" s="16">
        <f t="shared" si="2"/>
        <v>1.7604259885809614</v>
      </c>
      <c r="AD67" s="16">
        <f t="shared" si="6"/>
        <v>2.6513387173013911</v>
      </c>
      <c r="AE67" s="16" t="str">
        <f t="shared" si="7"/>
        <v/>
      </c>
      <c r="AF67" s="16">
        <f t="shared" si="8"/>
        <v>2.2233333333333336</v>
      </c>
      <c r="AG67" s="16">
        <f t="shared" si="3"/>
        <v>8.1199490196078443</v>
      </c>
      <c r="AH67" s="16" t="str">
        <f t="shared" si="4"/>
        <v/>
      </c>
      <c r="AI67" s="16">
        <f t="shared" si="5"/>
        <v>7.2703000000000007</v>
      </c>
    </row>
    <row r="68" spans="1:35">
      <c r="A68" s="8"/>
      <c r="B68" s="8">
        <v>66</v>
      </c>
      <c r="C68" s="48"/>
      <c r="D68" s="48"/>
      <c r="E68" s="51"/>
      <c r="Z68" s="14"/>
      <c r="AA68" s="16">
        <f t="shared" ref="AA68:AA99" si="11">$G$5</f>
        <v>2.2058823529411762</v>
      </c>
      <c r="AB68" s="16">
        <f t="shared" si="10"/>
        <v>2.1666666666666714</v>
      </c>
      <c r="AC68" s="16">
        <f t="shared" ref="AC68:AC102" si="12">IF(AA68-$G$12&gt;0,AA68-$G$12,"")</f>
        <v>1.7604259885809614</v>
      </c>
      <c r="AD68" s="16">
        <f t="shared" si="6"/>
        <v>2.6513387173013911</v>
      </c>
      <c r="AE68" s="16" t="str">
        <f t="shared" si="7"/>
        <v/>
      </c>
      <c r="AF68" s="16">
        <f t="shared" si="8"/>
        <v>2.2233333333333336</v>
      </c>
      <c r="AG68" s="16">
        <f t="shared" ref="AG68:AG102" si="13">$AA$3+2.66*$AF$4</f>
        <v>8.1199490196078443</v>
      </c>
      <c r="AH68" s="16" t="str">
        <f t="shared" ref="AH68:AH102" si="14">IF($AA$3-2.66*$AF$4&gt;0,$AA$3-2.66*$AF$4,"")</f>
        <v/>
      </c>
      <c r="AI68" s="16">
        <f t="shared" ref="AI68:AI102" si="15">3.27*$AF$4</f>
        <v>7.2703000000000007</v>
      </c>
    </row>
    <row r="69" spans="1:35">
      <c r="A69" s="8"/>
      <c r="B69" s="8">
        <v>67</v>
      </c>
      <c r="C69" s="48"/>
      <c r="D69" s="48"/>
      <c r="E69" s="51"/>
      <c r="Z69" s="14"/>
      <c r="AA69" s="16">
        <f t="shared" si="11"/>
        <v>2.2058823529411762</v>
      </c>
      <c r="AB69" s="16">
        <f t="shared" si="10"/>
        <v>2.1666666666666714</v>
      </c>
      <c r="AC69" s="16">
        <f t="shared" si="12"/>
        <v>1.7604259885809614</v>
      </c>
      <c r="AD69" s="16">
        <f t="shared" ref="AD69:AD102" si="16">AA69+$G$12</f>
        <v>2.6513387173013911</v>
      </c>
      <c r="AE69" s="16" t="str">
        <f t="shared" ref="AE69:AE102" si="17">IF(C69&lt;&gt;"",ABS(C68-C69),"")</f>
        <v/>
      </c>
      <c r="AF69" s="16">
        <f t="shared" ref="AF69:AF102" si="18">AVERAGE($AE$4:$AE$102)</f>
        <v>2.2233333333333336</v>
      </c>
      <c r="AG69" s="16">
        <f t="shared" si="13"/>
        <v>8.1199490196078443</v>
      </c>
      <c r="AH69" s="16" t="str">
        <f t="shared" si="14"/>
        <v/>
      </c>
      <c r="AI69" s="16">
        <f t="shared" si="15"/>
        <v>7.2703000000000007</v>
      </c>
    </row>
    <row r="70" spans="1:35">
      <c r="A70" s="8"/>
      <c r="B70" s="8">
        <v>68</v>
      </c>
      <c r="C70" s="48"/>
      <c r="D70" s="48"/>
      <c r="E70" s="51"/>
      <c r="Z70" s="14"/>
      <c r="AA70" s="16">
        <f t="shared" si="11"/>
        <v>2.2058823529411762</v>
      </c>
      <c r="AB70" s="16">
        <f t="shared" si="10"/>
        <v>2.1666666666666714</v>
      </c>
      <c r="AC70" s="16">
        <f t="shared" si="12"/>
        <v>1.7604259885809614</v>
      </c>
      <c r="AD70" s="16">
        <f t="shared" si="16"/>
        <v>2.6513387173013911</v>
      </c>
      <c r="AE70" s="16" t="str">
        <f t="shared" si="17"/>
        <v/>
      </c>
      <c r="AF70" s="16">
        <f t="shared" si="18"/>
        <v>2.2233333333333336</v>
      </c>
      <c r="AG70" s="16">
        <f t="shared" si="13"/>
        <v>8.1199490196078443</v>
      </c>
      <c r="AH70" s="16" t="str">
        <f t="shared" si="14"/>
        <v/>
      </c>
      <c r="AI70" s="16">
        <f t="shared" si="15"/>
        <v>7.2703000000000007</v>
      </c>
    </row>
    <row r="71" spans="1:35">
      <c r="A71" s="8"/>
      <c r="B71" s="8">
        <v>69</v>
      </c>
      <c r="C71" s="48"/>
      <c r="D71" s="48"/>
      <c r="E71" s="51"/>
      <c r="Z71" s="14"/>
      <c r="AA71" s="16">
        <f t="shared" si="11"/>
        <v>2.2058823529411762</v>
      </c>
      <c r="AB71" s="16">
        <f t="shared" si="10"/>
        <v>2.1666666666666714</v>
      </c>
      <c r="AC71" s="16">
        <f t="shared" si="12"/>
        <v>1.7604259885809614</v>
      </c>
      <c r="AD71" s="16">
        <f t="shared" si="16"/>
        <v>2.6513387173013911</v>
      </c>
      <c r="AE71" s="16" t="str">
        <f t="shared" si="17"/>
        <v/>
      </c>
      <c r="AF71" s="16">
        <f t="shared" si="18"/>
        <v>2.2233333333333336</v>
      </c>
      <c r="AG71" s="16">
        <f t="shared" si="13"/>
        <v>8.1199490196078443</v>
      </c>
      <c r="AH71" s="16" t="str">
        <f t="shared" si="14"/>
        <v/>
      </c>
      <c r="AI71" s="16">
        <f t="shared" si="15"/>
        <v>7.2703000000000007</v>
      </c>
    </row>
    <row r="72" spans="1:35">
      <c r="A72" s="8"/>
      <c r="B72" s="8">
        <v>70</v>
      </c>
      <c r="C72" s="48"/>
      <c r="D72" s="48"/>
      <c r="E72" s="51"/>
      <c r="Z72" s="14"/>
      <c r="AA72" s="16">
        <f t="shared" si="11"/>
        <v>2.2058823529411762</v>
      </c>
      <c r="AB72" s="16">
        <f t="shared" si="10"/>
        <v>2.1666666666666714</v>
      </c>
      <c r="AC72" s="16">
        <f t="shared" si="12"/>
        <v>1.7604259885809614</v>
      </c>
      <c r="AD72" s="16">
        <f t="shared" si="16"/>
        <v>2.6513387173013911</v>
      </c>
      <c r="AE72" s="16" t="str">
        <f t="shared" si="17"/>
        <v/>
      </c>
      <c r="AF72" s="16">
        <f t="shared" si="18"/>
        <v>2.2233333333333336</v>
      </c>
      <c r="AG72" s="16">
        <f t="shared" si="13"/>
        <v>8.1199490196078443</v>
      </c>
      <c r="AH72" s="16" t="str">
        <f t="shared" si="14"/>
        <v/>
      </c>
      <c r="AI72" s="16">
        <f t="shared" si="15"/>
        <v>7.2703000000000007</v>
      </c>
    </row>
    <row r="73" spans="1:35">
      <c r="A73" s="8"/>
      <c r="B73" s="8">
        <v>71</v>
      </c>
      <c r="C73" s="48"/>
      <c r="D73" s="48"/>
      <c r="E73" s="51"/>
      <c r="Z73" s="14"/>
      <c r="AA73" s="16">
        <f t="shared" si="11"/>
        <v>2.2058823529411762</v>
      </c>
      <c r="AB73" s="16">
        <f t="shared" si="10"/>
        <v>2.1666666666666714</v>
      </c>
      <c r="AC73" s="16">
        <f t="shared" si="12"/>
        <v>1.7604259885809614</v>
      </c>
      <c r="AD73" s="16">
        <f t="shared" si="16"/>
        <v>2.6513387173013911</v>
      </c>
      <c r="AE73" s="16" t="str">
        <f t="shared" si="17"/>
        <v/>
      </c>
      <c r="AF73" s="16">
        <f t="shared" si="18"/>
        <v>2.2233333333333336</v>
      </c>
      <c r="AG73" s="16">
        <f t="shared" si="13"/>
        <v>8.1199490196078443</v>
      </c>
      <c r="AH73" s="16" t="str">
        <f t="shared" si="14"/>
        <v/>
      </c>
      <c r="AI73" s="16">
        <f t="shared" si="15"/>
        <v>7.2703000000000007</v>
      </c>
    </row>
    <row r="74" spans="1:35">
      <c r="A74" s="8"/>
      <c r="B74" s="8">
        <v>72</v>
      </c>
      <c r="C74" s="48"/>
      <c r="D74" s="48"/>
      <c r="E74" s="51"/>
      <c r="Z74" s="14"/>
      <c r="AA74" s="16">
        <f t="shared" si="11"/>
        <v>2.2058823529411762</v>
      </c>
      <c r="AB74" s="16">
        <f t="shared" si="10"/>
        <v>2.1666666666666714</v>
      </c>
      <c r="AC74" s="16">
        <f t="shared" si="12"/>
        <v>1.7604259885809614</v>
      </c>
      <c r="AD74" s="16">
        <f t="shared" si="16"/>
        <v>2.6513387173013911</v>
      </c>
      <c r="AE74" s="16" t="str">
        <f t="shared" si="17"/>
        <v/>
      </c>
      <c r="AF74" s="16">
        <f t="shared" si="18"/>
        <v>2.2233333333333336</v>
      </c>
      <c r="AG74" s="16">
        <f t="shared" si="13"/>
        <v>8.1199490196078443</v>
      </c>
      <c r="AH74" s="16" t="str">
        <f t="shared" si="14"/>
        <v/>
      </c>
      <c r="AI74" s="16">
        <f t="shared" si="15"/>
        <v>7.2703000000000007</v>
      </c>
    </row>
    <row r="75" spans="1:35">
      <c r="A75" s="8"/>
      <c r="B75" s="8">
        <v>73</v>
      </c>
      <c r="C75" s="48"/>
      <c r="D75" s="48"/>
      <c r="E75" s="51"/>
      <c r="Z75" s="14"/>
      <c r="AA75" s="16">
        <f t="shared" si="11"/>
        <v>2.2058823529411762</v>
      </c>
      <c r="AB75" s="16">
        <f t="shared" si="10"/>
        <v>2.1666666666666714</v>
      </c>
      <c r="AC75" s="16">
        <f t="shared" si="12"/>
        <v>1.7604259885809614</v>
      </c>
      <c r="AD75" s="16">
        <f t="shared" si="16"/>
        <v>2.6513387173013911</v>
      </c>
      <c r="AE75" s="16" t="str">
        <f t="shared" si="17"/>
        <v/>
      </c>
      <c r="AF75" s="16">
        <f t="shared" si="18"/>
        <v>2.2233333333333336</v>
      </c>
      <c r="AG75" s="16">
        <f t="shared" si="13"/>
        <v>8.1199490196078443</v>
      </c>
      <c r="AH75" s="16" t="str">
        <f t="shared" si="14"/>
        <v/>
      </c>
      <c r="AI75" s="16">
        <f t="shared" si="15"/>
        <v>7.2703000000000007</v>
      </c>
    </row>
    <row r="76" spans="1:35">
      <c r="A76" s="8"/>
      <c r="B76" s="8">
        <v>74</v>
      </c>
      <c r="C76" s="48"/>
      <c r="D76" s="48"/>
      <c r="E76" s="51"/>
      <c r="Z76" s="14"/>
      <c r="AA76" s="16">
        <f t="shared" si="11"/>
        <v>2.2058823529411762</v>
      </c>
      <c r="AB76" s="16">
        <f t="shared" si="10"/>
        <v>2.1666666666666714</v>
      </c>
      <c r="AC76" s="16">
        <f t="shared" si="12"/>
        <v>1.7604259885809614</v>
      </c>
      <c r="AD76" s="16">
        <f t="shared" si="16"/>
        <v>2.6513387173013911</v>
      </c>
      <c r="AE76" s="16" t="str">
        <f t="shared" si="17"/>
        <v/>
      </c>
      <c r="AF76" s="16">
        <f t="shared" si="18"/>
        <v>2.2233333333333336</v>
      </c>
      <c r="AG76" s="16">
        <f t="shared" si="13"/>
        <v>8.1199490196078443</v>
      </c>
      <c r="AH76" s="16" t="str">
        <f t="shared" si="14"/>
        <v/>
      </c>
      <c r="AI76" s="16">
        <f t="shared" si="15"/>
        <v>7.2703000000000007</v>
      </c>
    </row>
    <row r="77" spans="1:35">
      <c r="A77" s="8"/>
      <c r="B77" s="8">
        <v>75</v>
      </c>
      <c r="C77" s="48"/>
      <c r="D77" s="48"/>
      <c r="E77" s="51"/>
      <c r="Z77" s="14"/>
      <c r="AA77" s="16">
        <f t="shared" si="11"/>
        <v>2.2058823529411762</v>
      </c>
      <c r="AB77" s="16">
        <f t="shared" si="10"/>
        <v>2.1666666666666714</v>
      </c>
      <c r="AC77" s="16">
        <f t="shared" si="12"/>
        <v>1.7604259885809614</v>
      </c>
      <c r="AD77" s="16">
        <f t="shared" si="16"/>
        <v>2.6513387173013911</v>
      </c>
      <c r="AE77" s="16" t="str">
        <f t="shared" si="17"/>
        <v/>
      </c>
      <c r="AF77" s="16">
        <f t="shared" si="18"/>
        <v>2.2233333333333336</v>
      </c>
      <c r="AG77" s="16">
        <f t="shared" si="13"/>
        <v>8.1199490196078443</v>
      </c>
      <c r="AH77" s="16" t="str">
        <f t="shared" si="14"/>
        <v/>
      </c>
      <c r="AI77" s="16">
        <f t="shared" si="15"/>
        <v>7.2703000000000007</v>
      </c>
    </row>
    <row r="78" spans="1:35">
      <c r="A78" s="8"/>
      <c r="B78" s="8">
        <v>76</v>
      </c>
      <c r="C78" s="48"/>
      <c r="D78" s="48"/>
      <c r="E78" s="51"/>
      <c r="Z78" s="14"/>
      <c r="AA78" s="16">
        <f t="shared" si="11"/>
        <v>2.2058823529411762</v>
      </c>
      <c r="AB78" s="16">
        <f t="shared" si="10"/>
        <v>2.1666666666666714</v>
      </c>
      <c r="AC78" s="16">
        <f t="shared" si="12"/>
        <v>1.7604259885809614</v>
      </c>
      <c r="AD78" s="16">
        <f t="shared" si="16"/>
        <v>2.6513387173013911</v>
      </c>
      <c r="AE78" s="16" t="str">
        <f t="shared" si="17"/>
        <v/>
      </c>
      <c r="AF78" s="16">
        <f t="shared" si="18"/>
        <v>2.2233333333333336</v>
      </c>
      <c r="AG78" s="16">
        <f t="shared" si="13"/>
        <v>8.1199490196078443</v>
      </c>
      <c r="AH78" s="16" t="str">
        <f t="shared" si="14"/>
        <v/>
      </c>
      <c r="AI78" s="16">
        <f t="shared" si="15"/>
        <v>7.2703000000000007</v>
      </c>
    </row>
    <row r="79" spans="1:35">
      <c r="A79" s="8"/>
      <c r="B79" s="8">
        <v>77</v>
      </c>
      <c r="C79" s="48"/>
      <c r="D79" s="48"/>
      <c r="E79" s="51"/>
      <c r="Z79" s="14"/>
      <c r="AA79" s="16">
        <f t="shared" si="11"/>
        <v>2.2058823529411762</v>
      </c>
      <c r="AB79" s="16">
        <f t="shared" si="10"/>
        <v>2.1666666666666714</v>
      </c>
      <c r="AC79" s="16">
        <f t="shared" si="12"/>
        <v>1.7604259885809614</v>
      </c>
      <c r="AD79" s="16">
        <f t="shared" si="16"/>
        <v>2.6513387173013911</v>
      </c>
      <c r="AE79" s="16" t="str">
        <f t="shared" si="17"/>
        <v/>
      </c>
      <c r="AF79" s="16">
        <f t="shared" si="18"/>
        <v>2.2233333333333336</v>
      </c>
      <c r="AG79" s="16">
        <f t="shared" si="13"/>
        <v>8.1199490196078443</v>
      </c>
      <c r="AH79" s="16" t="str">
        <f t="shared" si="14"/>
        <v/>
      </c>
      <c r="AI79" s="16">
        <f t="shared" si="15"/>
        <v>7.2703000000000007</v>
      </c>
    </row>
    <row r="80" spans="1:35">
      <c r="A80" s="8"/>
      <c r="B80" s="8">
        <v>78</v>
      </c>
      <c r="C80" s="48"/>
      <c r="D80" s="48"/>
      <c r="E80" s="51"/>
      <c r="Z80" s="14"/>
      <c r="AA80" s="16">
        <f t="shared" si="11"/>
        <v>2.2058823529411762</v>
      </c>
      <c r="AB80" s="16">
        <f t="shared" si="10"/>
        <v>2.1666666666666714</v>
      </c>
      <c r="AC80" s="16">
        <f t="shared" si="12"/>
        <v>1.7604259885809614</v>
      </c>
      <c r="AD80" s="16">
        <f t="shared" si="16"/>
        <v>2.6513387173013911</v>
      </c>
      <c r="AE80" s="16" t="str">
        <f t="shared" si="17"/>
        <v/>
      </c>
      <c r="AF80" s="16">
        <f t="shared" si="18"/>
        <v>2.2233333333333336</v>
      </c>
      <c r="AG80" s="16">
        <f t="shared" si="13"/>
        <v>8.1199490196078443</v>
      </c>
      <c r="AH80" s="16" t="str">
        <f t="shared" si="14"/>
        <v/>
      </c>
      <c r="AI80" s="16">
        <f t="shared" si="15"/>
        <v>7.2703000000000007</v>
      </c>
    </row>
    <row r="81" spans="1:35">
      <c r="A81" s="8"/>
      <c r="B81" s="8">
        <v>79</v>
      </c>
      <c r="C81" s="48"/>
      <c r="D81" s="48"/>
      <c r="E81" s="51"/>
      <c r="Z81" s="14"/>
      <c r="AA81" s="16">
        <f t="shared" si="11"/>
        <v>2.2058823529411762</v>
      </c>
      <c r="AB81" s="16">
        <f t="shared" si="10"/>
        <v>2.1666666666666714</v>
      </c>
      <c r="AC81" s="16">
        <f t="shared" si="12"/>
        <v>1.7604259885809614</v>
      </c>
      <c r="AD81" s="16">
        <f t="shared" si="16"/>
        <v>2.6513387173013911</v>
      </c>
      <c r="AE81" s="16" t="str">
        <f t="shared" si="17"/>
        <v/>
      </c>
      <c r="AF81" s="16">
        <f t="shared" si="18"/>
        <v>2.2233333333333336</v>
      </c>
      <c r="AG81" s="16">
        <f t="shared" si="13"/>
        <v>8.1199490196078443</v>
      </c>
      <c r="AH81" s="16" t="str">
        <f t="shared" si="14"/>
        <v/>
      </c>
      <c r="AI81" s="16">
        <f t="shared" si="15"/>
        <v>7.2703000000000007</v>
      </c>
    </row>
    <row r="82" spans="1:35">
      <c r="A82" s="8"/>
      <c r="B82" s="8">
        <v>80</v>
      </c>
      <c r="C82" s="48"/>
      <c r="D82" s="48"/>
      <c r="E82" s="51"/>
      <c r="Z82" s="14"/>
      <c r="AA82" s="16">
        <f t="shared" si="11"/>
        <v>2.2058823529411762</v>
      </c>
      <c r="AB82" s="16">
        <f t="shared" si="10"/>
        <v>2.1666666666666714</v>
      </c>
      <c r="AC82" s="16">
        <f t="shared" si="12"/>
        <v>1.7604259885809614</v>
      </c>
      <c r="AD82" s="16">
        <f t="shared" si="16"/>
        <v>2.6513387173013911</v>
      </c>
      <c r="AE82" s="16" t="str">
        <f t="shared" si="17"/>
        <v/>
      </c>
      <c r="AF82" s="16">
        <f t="shared" si="18"/>
        <v>2.2233333333333336</v>
      </c>
      <c r="AG82" s="16">
        <f t="shared" si="13"/>
        <v>8.1199490196078443</v>
      </c>
      <c r="AH82" s="16" t="str">
        <f t="shared" si="14"/>
        <v/>
      </c>
      <c r="AI82" s="16">
        <f t="shared" si="15"/>
        <v>7.2703000000000007</v>
      </c>
    </row>
    <row r="83" spans="1:35">
      <c r="A83" s="8"/>
      <c r="B83" s="8">
        <v>81</v>
      </c>
      <c r="C83" s="48"/>
      <c r="D83" s="48"/>
      <c r="E83" s="51"/>
      <c r="Z83" s="14"/>
      <c r="AA83" s="16">
        <f t="shared" si="11"/>
        <v>2.2058823529411762</v>
      </c>
      <c r="AB83" s="16">
        <f t="shared" si="10"/>
        <v>2.1666666666666714</v>
      </c>
      <c r="AC83" s="16">
        <f t="shared" si="12"/>
        <v>1.7604259885809614</v>
      </c>
      <c r="AD83" s="16">
        <f t="shared" si="16"/>
        <v>2.6513387173013911</v>
      </c>
      <c r="AE83" s="16" t="str">
        <f t="shared" si="17"/>
        <v/>
      </c>
      <c r="AF83" s="16">
        <f t="shared" si="18"/>
        <v>2.2233333333333336</v>
      </c>
      <c r="AG83" s="16">
        <f t="shared" si="13"/>
        <v>8.1199490196078443</v>
      </c>
      <c r="AH83" s="16" t="str">
        <f t="shared" si="14"/>
        <v/>
      </c>
      <c r="AI83" s="16">
        <f t="shared" si="15"/>
        <v>7.2703000000000007</v>
      </c>
    </row>
    <row r="84" spans="1:35">
      <c r="A84" s="8"/>
      <c r="B84" s="8">
        <v>82</v>
      </c>
      <c r="C84" s="48"/>
      <c r="D84" s="48"/>
      <c r="E84" s="51"/>
      <c r="Z84" s="14"/>
      <c r="AA84" s="16">
        <f t="shared" si="11"/>
        <v>2.2058823529411762</v>
      </c>
      <c r="AB84" s="16">
        <f t="shared" si="10"/>
        <v>2.1666666666666714</v>
      </c>
      <c r="AC84" s="16">
        <f t="shared" si="12"/>
        <v>1.7604259885809614</v>
      </c>
      <c r="AD84" s="16">
        <f t="shared" si="16"/>
        <v>2.6513387173013911</v>
      </c>
      <c r="AE84" s="16" t="str">
        <f t="shared" si="17"/>
        <v/>
      </c>
      <c r="AF84" s="16">
        <f t="shared" si="18"/>
        <v>2.2233333333333336</v>
      </c>
      <c r="AG84" s="16">
        <f t="shared" si="13"/>
        <v>8.1199490196078443</v>
      </c>
      <c r="AH84" s="16" t="str">
        <f t="shared" si="14"/>
        <v/>
      </c>
      <c r="AI84" s="16">
        <f t="shared" si="15"/>
        <v>7.2703000000000007</v>
      </c>
    </row>
    <row r="85" spans="1:35">
      <c r="A85" s="8"/>
      <c r="B85" s="8">
        <v>83</v>
      </c>
      <c r="C85" s="48"/>
      <c r="D85" s="48"/>
      <c r="E85" s="51"/>
      <c r="Z85" s="14"/>
      <c r="AA85" s="16">
        <f t="shared" si="11"/>
        <v>2.2058823529411762</v>
      </c>
      <c r="AB85" s="16">
        <f t="shared" si="10"/>
        <v>2.1666666666666714</v>
      </c>
      <c r="AC85" s="16">
        <f t="shared" si="12"/>
        <v>1.7604259885809614</v>
      </c>
      <c r="AD85" s="16">
        <f t="shared" si="16"/>
        <v>2.6513387173013911</v>
      </c>
      <c r="AE85" s="16" t="str">
        <f t="shared" si="17"/>
        <v/>
      </c>
      <c r="AF85" s="16">
        <f t="shared" si="18"/>
        <v>2.2233333333333336</v>
      </c>
      <c r="AG85" s="16">
        <f t="shared" si="13"/>
        <v>8.1199490196078443</v>
      </c>
      <c r="AH85" s="16" t="str">
        <f t="shared" si="14"/>
        <v/>
      </c>
      <c r="AI85" s="16">
        <f t="shared" si="15"/>
        <v>7.2703000000000007</v>
      </c>
    </row>
    <row r="86" spans="1:35">
      <c r="A86" s="8"/>
      <c r="B86" s="8">
        <v>84</v>
      </c>
      <c r="C86" s="48"/>
      <c r="D86" s="48"/>
      <c r="E86" s="51"/>
      <c r="Z86" s="14"/>
      <c r="AA86" s="16">
        <f t="shared" si="11"/>
        <v>2.2058823529411762</v>
      </c>
      <c r="AB86" s="16">
        <f t="shared" si="10"/>
        <v>2.1666666666666714</v>
      </c>
      <c r="AC86" s="16">
        <f t="shared" si="12"/>
        <v>1.7604259885809614</v>
      </c>
      <c r="AD86" s="16">
        <f t="shared" si="16"/>
        <v>2.6513387173013911</v>
      </c>
      <c r="AE86" s="16" t="str">
        <f t="shared" si="17"/>
        <v/>
      </c>
      <c r="AF86" s="16">
        <f t="shared" si="18"/>
        <v>2.2233333333333336</v>
      </c>
      <c r="AG86" s="16">
        <f t="shared" si="13"/>
        <v>8.1199490196078443</v>
      </c>
      <c r="AH86" s="16" t="str">
        <f t="shared" si="14"/>
        <v/>
      </c>
      <c r="AI86" s="16">
        <f t="shared" si="15"/>
        <v>7.2703000000000007</v>
      </c>
    </row>
    <row r="87" spans="1:35">
      <c r="A87" s="8"/>
      <c r="B87" s="8">
        <v>85</v>
      </c>
      <c r="C87" s="48"/>
      <c r="D87" s="48"/>
      <c r="E87" s="51"/>
      <c r="Z87" s="14"/>
      <c r="AA87" s="16">
        <f t="shared" si="11"/>
        <v>2.2058823529411762</v>
      </c>
      <c r="AB87" s="16">
        <f t="shared" si="10"/>
        <v>2.1666666666666714</v>
      </c>
      <c r="AC87" s="16">
        <f t="shared" si="12"/>
        <v>1.7604259885809614</v>
      </c>
      <c r="AD87" s="16">
        <f t="shared" si="16"/>
        <v>2.6513387173013911</v>
      </c>
      <c r="AE87" s="16" t="str">
        <f t="shared" si="17"/>
        <v/>
      </c>
      <c r="AF87" s="16">
        <f t="shared" si="18"/>
        <v>2.2233333333333336</v>
      </c>
      <c r="AG87" s="16">
        <f t="shared" si="13"/>
        <v>8.1199490196078443</v>
      </c>
      <c r="AH87" s="16" t="str">
        <f t="shared" si="14"/>
        <v/>
      </c>
      <c r="AI87" s="16">
        <f t="shared" si="15"/>
        <v>7.2703000000000007</v>
      </c>
    </row>
    <row r="88" spans="1:35">
      <c r="A88" s="8"/>
      <c r="B88" s="8">
        <v>86</v>
      </c>
      <c r="C88" s="48"/>
      <c r="D88" s="48"/>
      <c r="E88" s="51"/>
      <c r="Z88" s="14"/>
      <c r="AA88" s="16">
        <f t="shared" si="11"/>
        <v>2.2058823529411762</v>
      </c>
      <c r="AB88" s="16">
        <f t="shared" si="10"/>
        <v>2.1666666666666714</v>
      </c>
      <c r="AC88" s="16">
        <f t="shared" si="12"/>
        <v>1.7604259885809614</v>
      </c>
      <c r="AD88" s="16">
        <f t="shared" si="16"/>
        <v>2.6513387173013911</v>
      </c>
      <c r="AE88" s="16" t="str">
        <f t="shared" si="17"/>
        <v/>
      </c>
      <c r="AF88" s="16">
        <f t="shared" si="18"/>
        <v>2.2233333333333336</v>
      </c>
      <c r="AG88" s="16">
        <f t="shared" si="13"/>
        <v>8.1199490196078443</v>
      </c>
      <c r="AH88" s="16" t="str">
        <f t="shared" si="14"/>
        <v/>
      </c>
      <c r="AI88" s="16">
        <f t="shared" si="15"/>
        <v>7.2703000000000007</v>
      </c>
    </row>
    <row r="89" spans="1:35">
      <c r="A89" s="8"/>
      <c r="B89" s="8">
        <v>87</v>
      </c>
      <c r="C89" s="48"/>
      <c r="D89" s="48"/>
      <c r="E89" s="51"/>
      <c r="Z89" s="14"/>
      <c r="AA89" s="16">
        <f t="shared" si="11"/>
        <v>2.2058823529411762</v>
      </c>
      <c r="AB89" s="16">
        <f t="shared" si="10"/>
        <v>2.1666666666666714</v>
      </c>
      <c r="AC89" s="16">
        <f t="shared" si="12"/>
        <v>1.7604259885809614</v>
      </c>
      <c r="AD89" s="16">
        <f t="shared" si="16"/>
        <v>2.6513387173013911</v>
      </c>
      <c r="AE89" s="16" t="str">
        <f t="shared" si="17"/>
        <v/>
      </c>
      <c r="AF89" s="16">
        <f t="shared" si="18"/>
        <v>2.2233333333333336</v>
      </c>
      <c r="AG89" s="16">
        <f t="shared" si="13"/>
        <v>8.1199490196078443</v>
      </c>
      <c r="AH89" s="16" t="str">
        <f t="shared" si="14"/>
        <v/>
      </c>
      <c r="AI89" s="16">
        <f t="shared" si="15"/>
        <v>7.2703000000000007</v>
      </c>
    </row>
    <row r="90" spans="1:35">
      <c r="A90" s="8"/>
      <c r="B90" s="8">
        <v>88</v>
      </c>
      <c r="C90" s="48"/>
      <c r="D90" s="48"/>
      <c r="E90" s="51"/>
      <c r="Z90" s="14"/>
      <c r="AA90" s="16">
        <f t="shared" si="11"/>
        <v>2.2058823529411762</v>
      </c>
      <c r="AB90" s="16">
        <f t="shared" si="10"/>
        <v>2.1666666666666714</v>
      </c>
      <c r="AC90" s="16">
        <f t="shared" si="12"/>
        <v>1.7604259885809614</v>
      </c>
      <c r="AD90" s="16">
        <f t="shared" si="16"/>
        <v>2.6513387173013911</v>
      </c>
      <c r="AE90" s="16" t="str">
        <f t="shared" si="17"/>
        <v/>
      </c>
      <c r="AF90" s="16">
        <f t="shared" si="18"/>
        <v>2.2233333333333336</v>
      </c>
      <c r="AG90" s="16">
        <f t="shared" si="13"/>
        <v>8.1199490196078443</v>
      </c>
      <c r="AH90" s="16" t="str">
        <f t="shared" si="14"/>
        <v/>
      </c>
      <c r="AI90" s="16">
        <f t="shared" si="15"/>
        <v>7.2703000000000007</v>
      </c>
    </row>
    <row r="91" spans="1:35">
      <c r="A91" s="8"/>
      <c r="B91" s="8">
        <v>89</v>
      </c>
      <c r="C91" s="48"/>
      <c r="D91" s="48"/>
      <c r="E91" s="51"/>
      <c r="Z91" s="14"/>
      <c r="AA91" s="16">
        <f t="shared" si="11"/>
        <v>2.2058823529411762</v>
      </c>
      <c r="AB91" s="16">
        <f t="shared" si="10"/>
        <v>2.1666666666666714</v>
      </c>
      <c r="AC91" s="16">
        <f t="shared" si="12"/>
        <v>1.7604259885809614</v>
      </c>
      <c r="AD91" s="16">
        <f t="shared" si="16"/>
        <v>2.6513387173013911</v>
      </c>
      <c r="AE91" s="16" t="str">
        <f t="shared" si="17"/>
        <v/>
      </c>
      <c r="AF91" s="16">
        <f t="shared" si="18"/>
        <v>2.2233333333333336</v>
      </c>
      <c r="AG91" s="16">
        <f t="shared" si="13"/>
        <v>8.1199490196078443</v>
      </c>
      <c r="AH91" s="16" t="str">
        <f t="shared" si="14"/>
        <v/>
      </c>
      <c r="AI91" s="16">
        <f t="shared" si="15"/>
        <v>7.2703000000000007</v>
      </c>
    </row>
    <row r="92" spans="1:35">
      <c r="A92" s="8"/>
      <c r="B92" s="8">
        <v>90</v>
      </c>
      <c r="C92" s="48"/>
      <c r="D92" s="48"/>
      <c r="E92" s="51"/>
      <c r="Z92" s="14"/>
      <c r="AA92" s="16">
        <f t="shared" si="11"/>
        <v>2.2058823529411762</v>
      </c>
      <c r="AB92" s="16">
        <f t="shared" si="10"/>
        <v>2.1666666666666714</v>
      </c>
      <c r="AC92" s="16">
        <f t="shared" si="12"/>
        <v>1.7604259885809614</v>
      </c>
      <c r="AD92" s="16">
        <f t="shared" si="16"/>
        <v>2.6513387173013911</v>
      </c>
      <c r="AE92" s="16" t="str">
        <f t="shared" si="17"/>
        <v/>
      </c>
      <c r="AF92" s="16">
        <f t="shared" si="18"/>
        <v>2.2233333333333336</v>
      </c>
      <c r="AG92" s="16">
        <f t="shared" si="13"/>
        <v>8.1199490196078443</v>
      </c>
      <c r="AH92" s="16" t="str">
        <f t="shared" si="14"/>
        <v/>
      </c>
      <c r="AI92" s="16">
        <f t="shared" si="15"/>
        <v>7.2703000000000007</v>
      </c>
    </row>
    <row r="93" spans="1:35">
      <c r="A93" s="8"/>
      <c r="B93" s="8">
        <v>91</v>
      </c>
      <c r="C93" s="48"/>
      <c r="D93" s="48"/>
      <c r="E93" s="51"/>
      <c r="Z93" s="14"/>
      <c r="AA93" s="16">
        <f t="shared" si="11"/>
        <v>2.2058823529411762</v>
      </c>
      <c r="AB93" s="16">
        <f t="shared" si="10"/>
        <v>2.1666666666666714</v>
      </c>
      <c r="AC93" s="16">
        <f t="shared" si="12"/>
        <v>1.7604259885809614</v>
      </c>
      <c r="AD93" s="16">
        <f t="shared" si="16"/>
        <v>2.6513387173013911</v>
      </c>
      <c r="AE93" s="16" t="str">
        <f t="shared" si="17"/>
        <v/>
      </c>
      <c r="AF93" s="16">
        <f t="shared" si="18"/>
        <v>2.2233333333333336</v>
      </c>
      <c r="AG93" s="16">
        <f t="shared" si="13"/>
        <v>8.1199490196078443</v>
      </c>
      <c r="AH93" s="16" t="str">
        <f t="shared" si="14"/>
        <v/>
      </c>
      <c r="AI93" s="16">
        <f t="shared" si="15"/>
        <v>7.2703000000000007</v>
      </c>
    </row>
    <row r="94" spans="1:35">
      <c r="A94" s="8"/>
      <c r="B94" s="8">
        <v>92</v>
      </c>
      <c r="C94" s="48"/>
      <c r="D94" s="48"/>
      <c r="E94" s="51"/>
      <c r="Z94" s="14"/>
      <c r="AA94" s="16">
        <f t="shared" si="11"/>
        <v>2.2058823529411762</v>
      </c>
      <c r="AB94" s="16">
        <f t="shared" si="10"/>
        <v>2.1666666666666714</v>
      </c>
      <c r="AC94" s="16">
        <f t="shared" si="12"/>
        <v>1.7604259885809614</v>
      </c>
      <c r="AD94" s="16">
        <f t="shared" si="16"/>
        <v>2.6513387173013911</v>
      </c>
      <c r="AE94" s="16" t="str">
        <f t="shared" si="17"/>
        <v/>
      </c>
      <c r="AF94" s="16">
        <f t="shared" si="18"/>
        <v>2.2233333333333336</v>
      </c>
      <c r="AG94" s="16">
        <f t="shared" si="13"/>
        <v>8.1199490196078443</v>
      </c>
      <c r="AH94" s="16" t="str">
        <f t="shared" si="14"/>
        <v/>
      </c>
      <c r="AI94" s="16">
        <f t="shared" si="15"/>
        <v>7.2703000000000007</v>
      </c>
    </row>
    <row r="95" spans="1:35">
      <c r="A95" s="8"/>
      <c r="B95" s="8">
        <v>93</v>
      </c>
      <c r="C95" s="48"/>
      <c r="D95" s="48"/>
      <c r="E95" s="51"/>
      <c r="Z95" s="14"/>
      <c r="AA95" s="16">
        <f t="shared" si="11"/>
        <v>2.2058823529411762</v>
      </c>
      <c r="AB95" s="16">
        <f t="shared" si="10"/>
        <v>2.1666666666666714</v>
      </c>
      <c r="AC95" s="16">
        <f t="shared" si="12"/>
        <v>1.7604259885809614</v>
      </c>
      <c r="AD95" s="16">
        <f t="shared" si="16"/>
        <v>2.6513387173013911</v>
      </c>
      <c r="AE95" s="16" t="str">
        <f t="shared" si="17"/>
        <v/>
      </c>
      <c r="AF95" s="16">
        <f t="shared" si="18"/>
        <v>2.2233333333333336</v>
      </c>
      <c r="AG95" s="16">
        <f t="shared" si="13"/>
        <v>8.1199490196078443</v>
      </c>
      <c r="AH95" s="16" t="str">
        <f t="shared" si="14"/>
        <v/>
      </c>
      <c r="AI95" s="16">
        <f t="shared" si="15"/>
        <v>7.2703000000000007</v>
      </c>
    </row>
    <row r="96" spans="1:35">
      <c r="A96" s="8"/>
      <c r="B96" s="8">
        <v>94</v>
      </c>
      <c r="C96" s="48"/>
      <c r="D96" s="48"/>
      <c r="E96" s="51"/>
      <c r="Z96" s="14"/>
      <c r="AA96" s="16">
        <f t="shared" si="11"/>
        <v>2.2058823529411762</v>
      </c>
      <c r="AB96" s="16">
        <f t="shared" si="10"/>
        <v>2.1666666666666714</v>
      </c>
      <c r="AC96" s="16">
        <f t="shared" si="12"/>
        <v>1.7604259885809614</v>
      </c>
      <c r="AD96" s="16">
        <f t="shared" si="16"/>
        <v>2.6513387173013911</v>
      </c>
      <c r="AE96" s="16" t="str">
        <f t="shared" si="17"/>
        <v/>
      </c>
      <c r="AF96" s="16">
        <f t="shared" si="18"/>
        <v>2.2233333333333336</v>
      </c>
      <c r="AG96" s="16">
        <f t="shared" si="13"/>
        <v>8.1199490196078443</v>
      </c>
      <c r="AH96" s="16" t="str">
        <f t="shared" si="14"/>
        <v/>
      </c>
      <c r="AI96" s="16">
        <f t="shared" si="15"/>
        <v>7.2703000000000007</v>
      </c>
    </row>
    <row r="97" spans="1:35">
      <c r="A97" s="8"/>
      <c r="B97" s="8">
        <v>95</v>
      </c>
      <c r="C97" s="48"/>
      <c r="D97" s="48"/>
      <c r="E97" s="51"/>
      <c r="Z97" s="14"/>
      <c r="AA97" s="16">
        <f t="shared" si="11"/>
        <v>2.2058823529411762</v>
      </c>
      <c r="AB97" s="16">
        <f t="shared" si="10"/>
        <v>2.1666666666666714</v>
      </c>
      <c r="AC97" s="16">
        <f t="shared" si="12"/>
        <v>1.7604259885809614</v>
      </c>
      <c r="AD97" s="16">
        <f t="shared" si="16"/>
        <v>2.6513387173013911</v>
      </c>
      <c r="AE97" s="16" t="str">
        <f t="shared" si="17"/>
        <v/>
      </c>
      <c r="AF97" s="16">
        <f t="shared" si="18"/>
        <v>2.2233333333333336</v>
      </c>
      <c r="AG97" s="16">
        <f t="shared" si="13"/>
        <v>8.1199490196078443</v>
      </c>
      <c r="AH97" s="16" t="str">
        <f t="shared" si="14"/>
        <v/>
      </c>
      <c r="AI97" s="16">
        <f t="shared" si="15"/>
        <v>7.2703000000000007</v>
      </c>
    </row>
    <row r="98" spans="1:35">
      <c r="A98" s="8"/>
      <c r="B98" s="8">
        <v>96</v>
      </c>
      <c r="C98" s="48"/>
      <c r="D98" s="48"/>
      <c r="E98" s="51"/>
      <c r="Z98" s="14"/>
      <c r="AA98" s="16">
        <f t="shared" si="11"/>
        <v>2.2058823529411762</v>
      </c>
      <c r="AB98" s="16">
        <f t="shared" si="10"/>
        <v>2.1666666666666714</v>
      </c>
      <c r="AC98" s="16">
        <f t="shared" si="12"/>
        <v>1.7604259885809614</v>
      </c>
      <c r="AD98" s="16">
        <f t="shared" si="16"/>
        <v>2.6513387173013911</v>
      </c>
      <c r="AE98" s="16" t="str">
        <f t="shared" si="17"/>
        <v/>
      </c>
      <c r="AF98" s="16">
        <f t="shared" si="18"/>
        <v>2.2233333333333336</v>
      </c>
      <c r="AG98" s="16">
        <f t="shared" si="13"/>
        <v>8.1199490196078443</v>
      </c>
      <c r="AH98" s="16" t="str">
        <f t="shared" si="14"/>
        <v/>
      </c>
      <c r="AI98" s="16">
        <f t="shared" si="15"/>
        <v>7.2703000000000007</v>
      </c>
    </row>
    <row r="99" spans="1:35">
      <c r="A99" s="8"/>
      <c r="B99" s="8">
        <v>97</v>
      </c>
      <c r="C99" s="48"/>
      <c r="D99" s="48"/>
      <c r="E99" s="51"/>
      <c r="Z99" s="14"/>
      <c r="AA99" s="16">
        <f t="shared" si="11"/>
        <v>2.2058823529411762</v>
      </c>
      <c r="AB99" s="16">
        <f t="shared" si="10"/>
        <v>2.1666666666666714</v>
      </c>
      <c r="AC99" s="16">
        <f t="shared" si="12"/>
        <v>1.7604259885809614</v>
      </c>
      <c r="AD99" s="16">
        <f t="shared" si="16"/>
        <v>2.6513387173013911</v>
      </c>
      <c r="AE99" s="16" t="str">
        <f t="shared" si="17"/>
        <v/>
      </c>
      <c r="AF99" s="16">
        <f t="shared" si="18"/>
        <v>2.2233333333333336</v>
      </c>
      <c r="AG99" s="16">
        <f t="shared" si="13"/>
        <v>8.1199490196078443</v>
      </c>
      <c r="AH99" s="16" t="str">
        <f t="shared" si="14"/>
        <v/>
      </c>
      <c r="AI99" s="16">
        <f t="shared" si="15"/>
        <v>7.2703000000000007</v>
      </c>
    </row>
    <row r="100" spans="1:35">
      <c r="A100" s="8"/>
      <c r="B100" s="8">
        <v>98</v>
      </c>
      <c r="C100" s="48"/>
      <c r="D100" s="48"/>
      <c r="E100" s="51"/>
      <c r="Z100" s="14"/>
      <c r="AA100" s="16">
        <f>$G$5</f>
        <v>2.2058823529411762</v>
      </c>
      <c r="AB100" s="16">
        <f t="shared" si="10"/>
        <v>2.1666666666666714</v>
      </c>
      <c r="AC100" s="16">
        <f t="shared" si="12"/>
        <v>1.7604259885809614</v>
      </c>
      <c r="AD100" s="16">
        <f t="shared" si="16"/>
        <v>2.6513387173013911</v>
      </c>
      <c r="AE100" s="16" t="str">
        <f t="shared" si="17"/>
        <v/>
      </c>
      <c r="AF100" s="16">
        <f t="shared" si="18"/>
        <v>2.2233333333333336</v>
      </c>
      <c r="AG100" s="16">
        <f t="shared" si="13"/>
        <v>8.1199490196078443</v>
      </c>
      <c r="AH100" s="16" t="str">
        <f t="shared" si="14"/>
        <v/>
      </c>
      <c r="AI100" s="16">
        <f t="shared" si="15"/>
        <v>7.2703000000000007</v>
      </c>
    </row>
    <row r="101" spans="1:35">
      <c r="A101" s="8"/>
      <c r="B101" s="8">
        <v>99</v>
      </c>
      <c r="C101" s="48"/>
      <c r="D101" s="48"/>
      <c r="E101" s="51"/>
      <c r="Z101" s="14"/>
      <c r="AA101" s="16">
        <f t="shared" ref="AA101" si="19">$G$5</f>
        <v>2.2058823529411762</v>
      </c>
      <c r="AB101" s="16">
        <f t="shared" si="10"/>
        <v>2.1666666666666714</v>
      </c>
      <c r="AC101" s="16">
        <f t="shared" si="12"/>
        <v>1.7604259885809614</v>
      </c>
      <c r="AD101" s="16">
        <f t="shared" si="16"/>
        <v>2.6513387173013911</v>
      </c>
      <c r="AE101" s="16" t="str">
        <f t="shared" si="17"/>
        <v/>
      </c>
      <c r="AF101" s="16">
        <f t="shared" si="18"/>
        <v>2.2233333333333336</v>
      </c>
      <c r="AG101" s="16">
        <f t="shared" si="13"/>
        <v>8.1199490196078443</v>
      </c>
      <c r="AH101" s="16" t="str">
        <f t="shared" si="14"/>
        <v/>
      </c>
      <c r="AI101" s="16">
        <f t="shared" si="15"/>
        <v>7.2703000000000007</v>
      </c>
    </row>
    <row r="102" spans="1:35">
      <c r="A102" s="8"/>
      <c r="B102" s="8">
        <v>100</v>
      </c>
      <c r="C102" s="48"/>
      <c r="D102" s="48"/>
      <c r="E102" s="51"/>
      <c r="Z102" s="15"/>
      <c r="AA102" s="17">
        <f>$G$5</f>
        <v>2.2058823529411762</v>
      </c>
      <c r="AB102" s="17">
        <f t="shared" si="10"/>
        <v>2.1666666666666714</v>
      </c>
      <c r="AC102" s="16">
        <f t="shared" si="12"/>
        <v>1.7604259885809614</v>
      </c>
      <c r="AD102" s="17">
        <f t="shared" si="16"/>
        <v>2.6513387173013911</v>
      </c>
      <c r="AE102" s="17" t="str">
        <f t="shared" si="17"/>
        <v/>
      </c>
      <c r="AF102" s="17">
        <f t="shared" si="18"/>
        <v>2.2233333333333336</v>
      </c>
      <c r="AG102" s="17">
        <f t="shared" si="13"/>
        <v>8.1199490196078443</v>
      </c>
      <c r="AH102" s="16" t="str">
        <f t="shared" si="14"/>
        <v/>
      </c>
      <c r="AI102" s="17">
        <f t="shared" si="15"/>
        <v>7.2703000000000007</v>
      </c>
    </row>
  </sheetData>
  <phoneticPr fontId="1"/>
  <hyperlinks>
    <hyperlink ref="M1" location="Instruction!A1" display="Help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27"/>
  <sheetViews>
    <sheetView showGridLines="0" zoomScaleNormal="100" workbookViewId="0">
      <selection activeCell="I23" sqref="I23"/>
    </sheetView>
  </sheetViews>
  <sheetFormatPr defaultRowHeight="18.75"/>
  <cols>
    <col min="1" max="1" width="1.375" customWidth="1"/>
    <col min="2" max="2" width="3.25" style="1" customWidth="1"/>
    <col min="3" max="3" width="29.375" customWidth="1"/>
    <col min="16" max="16" width="3.375" customWidth="1"/>
    <col min="17" max="17" width="0.875" customWidth="1"/>
  </cols>
  <sheetData>
    <row r="1" spans="2:17" ht="7.5" customHeight="1" thickBot="1"/>
    <row r="2" spans="2:17" ht="24.75" thickBot="1">
      <c r="B2" s="56" t="s">
        <v>20</v>
      </c>
      <c r="C2" s="57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5"/>
    </row>
    <row r="3" spans="2:17">
      <c r="B3" s="58" t="s">
        <v>22</v>
      </c>
      <c r="C3" s="59" t="s">
        <v>21</v>
      </c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7"/>
      <c r="Q3" s="40"/>
    </row>
    <row r="4" spans="2:17">
      <c r="B4" s="36"/>
      <c r="C4" s="34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7"/>
      <c r="Q4" s="40"/>
    </row>
    <row r="5" spans="2:17">
      <c r="B5" s="36" t="s">
        <v>23</v>
      </c>
      <c r="C5" s="34" t="s">
        <v>26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7"/>
      <c r="Q5" s="40"/>
    </row>
    <row r="6" spans="2:17">
      <c r="B6" s="36"/>
      <c r="C6" s="34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7"/>
      <c r="Q6" s="40"/>
    </row>
    <row r="7" spans="2:17">
      <c r="B7" s="36" t="s">
        <v>24</v>
      </c>
      <c r="C7" s="34" t="s">
        <v>27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7"/>
      <c r="Q7" s="40"/>
    </row>
    <row r="8" spans="2:17">
      <c r="B8" s="36"/>
      <c r="C8" s="34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7"/>
      <c r="Q8" s="40"/>
    </row>
    <row r="9" spans="2:17">
      <c r="B9" s="36" t="s">
        <v>25</v>
      </c>
      <c r="C9" s="34" t="s">
        <v>28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7"/>
      <c r="Q9" s="40"/>
    </row>
    <row r="10" spans="2:17">
      <c r="B10" s="36"/>
      <c r="C10" s="34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7"/>
      <c r="Q10" s="40"/>
    </row>
    <row r="11" spans="2:17">
      <c r="B11" s="36" t="s">
        <v>29</v>
      </c>
      <c r="C11" s="34" t="s">
        <v>32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7"/>
      <c r="Q11" s="40"/>
    </row>
    <row r="12" spans="2:17">
      <c r="B12" s="36"/>
      <c r="C12" s="34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7"/>
      <c r="Q12" s="40"/>
    </row>
    <row r="13" spans="2:17">
      <c r="B13" s="36" t="s">
        <v>31</v>
      </c>
      <c r="C13" s="34" t="s">
        <v>30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7"/>
      <c r="Q13" s="40"/>
    </row>
    <row r="14" spans="2:17">
      <c r="B14" s="36"/>
      <c r="C14" s="34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7"/>
      <c r="Q14" s="40"/>
    </row>
    <row r="15" spans="2:17">
      <c r="B15" s="36" t="s">
        <v>39</v>
      </c>
      <c r="C15" s="34" t="s">
        <v>47</v>
      </c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7"/>
      <c r="Q15" s="40"/>
    </row>
    <row r="16" spans="2:17" ht="19.5" thickBot="1">
      <c r="B16" s="36"/>
      <c r="C16" s="34"/>
      <c r="D16" s="23"/>
      <c r="E16" s="23"/>
      <c r="F16" s="23"/>
      <c r="G16" s="23"/>
      <c r="H16" s="23"/>
      <c r="I16" s="23"/>
      <c r="J16" s="23"/>
      <c r="K16" s="23"/>
      <c r="L16" s="55"/>
      <c r="M16" s="55"/>
      <c r="N16" s="55"/>
      <c r="O16" s="55"/>
      <c r="P16" s="27"/>
      <c r="Q16" s="40"/>
    </row>
    <row r="17" spans="2:17" ht="19.5" thickBot="1">
      <c r="B17" s="36" t="s">
        <v>48</v>
      </c>
      <c r="C17" s="34" t="s">
        <v>49</v>
      </c>
      <c r="D17" s="23"/>
      <c r="E17" s="23"/>
      <c r="F17" s="23"/>
      <c r="G17" s="23"/>
      <c r="H17" s="23"/>
      <c r="I17" s="23"/>
      <c r="J17" s="23"/>
      <c r="K17" s="23"/>
      <c r="L17" s="41" t="s">
        <v>33</v>
      </c>
      <c r="M17" s="42"/>
      <c r="N17" s="42"/>
      <c r="O17" s="43"/>
      <c r="P17" s="27"/>
      <c r="Q17" s="40"/>
    </row>
    <row r="18" spans="2:17">
      <c r="B18" s="36"/>
      <c r="C18" s="34"/>
      <c r="D18" s="23"/>
      <c r="E18" s="23"/>
      <c r="F18" s="23"/>
      <c r="G18" s="23"/>
      <c r="H18" s="23"/>
      <c r="I18" s="23"/>
      <c r="J18" s="23"/>
      <c r="K18" s="23"/>
      <c r="L18" s="26" t="s">
        <v>34</v>
      </c>
      <c r="M18" s="23"/>
      <c r="N18" s="23"/>
      <c r="O18" s="27"/>
      <c r="P18" s="27"/>
      <c r="Q18" s="40"/>
    </row>
    <row r="19" spans="2:17">
      <c r="B19" s="36" t="s">
        <v>50</v>
      </c>
      <c r="C19" s="34" t="s">
        <v>40</v>
      </c>
      <c r="D19" s="28"/>
      <c r="E19" s="23"/>
      <c r="F19" s="23"/>
      <c r="G19" s="23"/>
      <c r="H19" s="23"/>
      <c r="I19" s="23"/>
      <c r="J19" s="23"/>
      <c r="K19" s="23"/>
      <c r="L19" s="26" t="s">
        <v>35</v>
      </c>
      <c r="M19" s="23"/>
      <c r="N19" s="23"/>
      <c r="O19" s="27"/>
      <c r="P19" s="27"/>
      <c r="Q19" s="40"/>
    </row>
    <row r="20" spans="2:17" ht="19.5" thickBot="1">
      <c r="B20" s="37"/>
      <c r="C20" s="35"/>
      <c r="D20" s="23"/>
      <c r="E20" s="23"/>
      <c r="F20" s="23"/>
      <c r="G20" s="23"/>
      <c r="H20" s="23"/>
      <c r="I20" s="23"/>
      <c r="J20" s="23"/>
      <c r="K20" s="23"/>
      <c r="L20" s="29" t="s">
        <v>36</v>
      </c>
      <c r="M20" s="30"/>
      <c r="N20" s="30"/>
      <c r="O20" s="31"/>
      <c r="P20" s="27"/>
      <c r="Q20" s="40"/>
    </row>
    <row r="21" spans="2:17">
      <c r="B21" s="38"/>
      <c r="C21" s="23"/>
      <c r="D21" s="28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7"/>
      <c r="Q21" s="40"/>
    </row>
    <row r="22" spans="2:17">
      <c r="B22" s="38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7"/>
      <c r="Q22" s="40"/>
    </row>
    <row r="23" spans="2:17">
      <c r="B23" s="38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7"/>
      <c r="Q23" s="40"/>
    </row>
    <row r="24" spans="2:17" ht="19.5" thickBot="1">
      <c r="B24" s="38"/>
      <c r="C24" s="23" t="s">
        <v>41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7"/>
      <c r="Q24" s="40"/>
    </row>
    <row r="25" spans="2:17" ht="19.5" thickBot="1">
      <c r="B25" s="38"/>
      <c r="C25" s="32" t="s">
        <v>42</v>
      </c>
      <c r="D25" s="23"/>
      <c r="E25" s="23"/>
      <c r="F25" s="23"/>
      <c r="G25" s="23"/>
      <c r="H25" s="23"/>
      <c r="I25" s="23"/>
      <c r="J25" s="23"/>
      <c r="K25" s="23"/>
      <c r="L25" s="33" t="s">
        <v>38</v>
      </c>
      <c r="M25" s="23"/>
      <c r="N25" s="23"/>
      <c r="O25" s="23"/>
      <c r="P25" s="27"/>
      <c r="Q25" s="40"/>
    </row>
    <row r="26" spans="2:17" ht="19.5" thickBot="1">
      <c r="B26" s="39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1"/>
      <c r="Q26" s="40"/>
    </row>
    <row r="27" spans="2:17" ht="5.25" customHeight="1"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</row>
  </sheetData>
  <phoneticPr fontId="1"/>
  <hyperlinks>
    <hyperlink ref="L25" location="Sheet1!A1" display="Go Back"/>
    <hyperlink ref="C25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Instruction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2017-10-26T09:21:02Z</dcterms:created>
  <dcterms:modified xsi:type="dcterms:W3CDTF">2017-10-26T09:21:45Z</dcterms:modified>
</cp:coreProperties>
</file>